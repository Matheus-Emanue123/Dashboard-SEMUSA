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xr:revisionPtr revIDLastSave="0" documentId="8_{DDDB385D-F814-47F1-B157-9B3D35757C9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dastro Indicadores" sheetId="1" r:id="rId1"/>
    <sheet name="Referência" sheetId="2" r:id="rId2"/>
    <sheet name="Como_preencher" sheetId="3" r:id="rId3"/>
    <sheet name="Listas_de_opcoe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3" i="1" l="1"/>
  <c r="J323" i="1"/>
  <c r="I323" i="1"/>
  <c r="C323" i="1"/>
  <c r="P322" i="1"/>
  <c r="J322" i="1"/>
  <c r="I322" i="1"/>
  <c r="C322" i="1"/>
  <c r="P321" i="1"/>
  <c r="J321" i="1"/>
  <c r="I321" i="1"/>
  <c r="C321" i="1"/>
  <c r="P320" i="1"/>
  <c r="J320" i="1"/>
  <c r="I320" i="1"/>
  <c r="C320" i="1"/>
  <c r="P319" i="1"/>
  <c r="J319" i="1"/>
  <c r="I319" i="1"/>
  <c r="C319" i="1"/>
  <c r="P318" i="1"/>
  <c r="J318" i="1"/>
  <c r="I318" i="1"/>
  <c r="C318" i="1"/>
  <c r="P317" i="1"/>
  <c r="J317" i="1"/>
  <c r="I317" i="1"/>
  <c r="C317" i="1"/>
  <c r="P316" i="1"/>
  <c r="J316" i="1"/>
  <c r="I316" i="1"/>
  <c r="C316" i="1"/>
  <c r="P315" i="1"/>
  <c r="J315" i="1"/>
  <c r="I315" i="1"/>
  <c r="C315" i="1"/>
  <c r="P314" i="1"/>
  <c r="J314" i="1"/>
  <c r="I314" i="1"/>
  <c r="C314" i="1"/>
  <c r="P313" i="1"/>
  <c r="J313" i="1"/>
  <c r="I313" i="1"/>
  <c r="C313" i="1"/>
  <c r="P312" i="1"/>
  <c r="J312" i="1"/>
  <c r="I312" i="1"/>
  <c r="C312" i="1"/>
  <c r="P311" i="1"/>
  <c r="J311" i="1"/>
  <c r="I311" i="1"/>
  <c r="C311" i="1"/>
  <c r="P310" i="1"/>
  <c r="J310" i="1"/>
  <c r="I310" i="1"/>
  <c r="C310" i="1"/>
  <c r="P309" i="1"/>
  <c r="J309" i="1"/>
  <c r="I309" i="1"/>
  <c r="C309" i="1"/>
  <c r="P308" i="1"/>
  <c r="J308" i="1"/>
  <c r="I308" i="1"/>
  <c r="C308" i="1"/>
  <c r="P307" i="1"/>
  <c r="J307" i="1"/>
  <c r="I307" i="1"/>
  <c r="C307" i="1"/>
  <c r="P306" i="1"/>
  <c r="J306" i="1"/>
  <c r="I306" i="1"/>
  <c r="C306" i="1"/>
  <c r="P305" i="1"/>
  <c r="J305" i="1"/>
  <c r="I305" i="1"/>
  <c r="C305" i="1"/>
  <c r="P304" i="1"/>
  <c r="J304" i="1"/>
  <c r="I304" i="1"/>
  <c r="C304" i="1"/>
  <c r="P303" i="1"/>
  <c r="J303" i="1"/>
  <c r="I303" i="1"/>
  <c r="C303" i="1"/>
  <c r="P302" i="1"/>
  <c r="J302" i="1"/>
  <c r="I302" i="1"/>
  <c r="C302" i="1"/>
  <c r="P301" i="1"/>
  <c r="J301" i="1"/>
  <c r="I301" i="1"/>
  <c r="C301" i="1"/>
  <c r="P300" i="1"/>
  <c r="J300" i="1"/>
  <c r="I300" i="1"/>
  <c r="C300" i="1"/>
  <c r="P299" i="1"/>
  <c r="J299" i="1"/>
  <c r="I299" i="1"/>
  <c r="C299" i="1"/>
  <c r="P298" i="1"/>
  <c r="J298" i="1"/>
  <c r="I298" i="1"/>
  <c r="C298" i="1"/>
  <c r="P297" i="1"/>
  <c r="J297" i="1"/>
  <c r="I297" i="1"/>
  <c r="C297" i="1"/>
  <c r="P296" i="1"/>
  <c r="J296" i="1"/>
  <c r="I296" i="1"/>
  <c r="C296" i="1"/>
  <c r="P295" i="1"/>
  <c r="J295" i="1"/>
  <c r="I295" i="1"/>
  <c r="C295" i="1"/>
  <c r="P294" i="1"/>
  <c r="J294" i="1"/>
  <c r="I294" i="1"/>
  <c r="C294" i="1"/>
  <c r="P293" i="1"/>
  <c r="J293" i="1"/>
  <c r="I293" i="1"/>
  <c r="C293" i="1"/>
  <c r="P292" i="1"/>
  <c r="J292" i="1"/>
  <c r="I292" i="1"/>
  <c r="C292" i="1"/>
  <c r="J291" i="1"/>
  <c r="I291" i="1"/>
  <c r="C291" i="1"/>
  <c r="P291" i="1" s="1"/>
  <c r="J290" i="1"/>
  <c r="I290" i="1"/>
  <c r="C290" i="1"/>
  <c r="P290" i="1" s="1"/>
  <c r="J289" i="1"/>
  <c r="I289" i="1"/>
  <c r="C289" i="1"/>
  <c r="P289" i="1" s="1"/>
  <c r="J288" i="1"/>
  <c r="I288" i="1"/>
  <c r="C288" i="1"/>
  <c r="P288" i="1" s="1"/>
  <c r="J287" i="1"/>
  <c r="I287" i="1"/>
  <c r="C287" i="1"/>
  <c r="P287" i="1" s="1"/>
  <c r="J286" i="1"/>
  <c r="I286" i="1"/>
  <c r="C286" i="1"/>
  <c r="P286" i="1" s="1"/>
  <c r="J285" i="1"/>
  <c r="I285" i="1"/>
  <c r="C285" i="1"/>
  <c r="P285" i="1" s="1"/>
  <c r="J284" i="1"/>
  <c r="I284" i="1"/>
  <c r="C284" i="1"/>
  <c r="P284" i="1" s="1"/>
  <c r="J283" i="1"/>
  <c r="I283" i="1"/>
  <c r="C283" i="1"/>
  <c r="P283" i="1" s="1"/>
  <c r="J282" i="1"/>
  <c r="I282" i="1"/>
  <c r="C282" i="1"/>
  <c r="P282" i="1" s="1"/>
  <c r="J281" i="1"/>
  <c r="I281" i="1"/>
  <c r="C281" i="1"/>
  <c r="P281" i="1" s="1"/>
  <c r="J280" i="1"/>
  <c r="I280" i="1"/>
  <c r="C280" i="1"/>
  <c r="P280" i="1" s="1"/>
  <c r="J279" i="1"/>
  <c r="I279" i="1"/>
  <c r="C279" i="1"/>
  <c r="P279" i="1" s="1"/>
  <c r="J278" i="1"/>
  <c r="I278" i="1"/>
  <c r="C278" i="1"/>
  <c r="P278" i="1" s="1"/>
  <c r="J277" i="1"/>
  <c r="I277" i="1"/>
  <c r="C277" i="1"/>
  <c r="P277" i="1" s="1"/>
  <c r="J276" i="1"/>
  <c r="I276" i="1"/>
  <c r="C276" i="1"/>
  <c r="P276" i="1" s="1"/>
  <c r="J275" i="1"/>
  <c r="I275" i="1"/>
  <c r="C275" i="1"/>
  <c r="P275" i="1" s="1"/>
  <c r="J274" i="1"/>
  <c r="I274" i="1"/>
  <c r="C274" i="1"/>
  <c r="P274" i="1" s="1"/>
  <c r="J273" i="1"/>
  <c r="I273" i="1"/>
  <c r="C273" i="1"/>
  <c r="P273" i="1" s="1"/>
  <c r="J272" i="1"/>
  <c r="I272" i="1"/>
  <c r="C272" i="1"/>
  <c r="P272" i="1" s="1"/>
  <c r="J271" i="1"/>
  <c r="I271" i="1"/>
  <c r="C271" i="1"/>
  <c r="P271" i="1" s="1"/>
  <c r="J270" i="1"/>
  <c r="I270" i="1"/>
  <c r="C270" i="1"/>
  <c r="P270" i="1" s="1"/>
  <c r="J269" i="1"/>
  <c r="I269" i="1"/>
  <c r="C269" i="1"/>
  <c r="P269" i="1" s="1"/>
  <c r="J268" i="1"/>
  <c r="I268" i="1"/>
  <c r="C268" i="1"/>
  <c r="P268" i="1" s="1"/>
  <c r="J267" i="1"/>
  <c r="I267" i="1"/>
  <c r="C267" i="1"/>
  <c r="P267" i="1" s="1"/>
  <c r="J266" i="1"/>
  <c r="I266" i="1"/>
  <c r="C266" i="1"/>
  <c r="P266" i="1" s="1"/>
  <c r="J265" i="1"/>
  <c r="I265" i="1"/>
  <c r="C265" i="1"/>
  <c r="P265" i="1" s="1"/>
  <c r="J264" i="1"/>
  <c r="I264" i="1"/>
  <c r="C264" i="1"/>
  <c r="P264" i="1" s="1"/>
  <c r="J263" i="1"/>
  <c r="I263" i="1"/>
  <c r="C263" i="1"/>
  <c r="P263" i="1" s="1"/>
  <c r="J262" i="1"/>
  <c r="I262" i="1"/>
  <c r="C262" i="1"/>
  <c r="P262" i="1" s="1"/>
  <c r="J261" i="1"/>
  <c r="I261" i="1"/>
  <c r="C261" i="1"/>
  <c r="P261" i="1" s="1"/>
  <c r="J260" i="1"/>
  <c r="I260" i="1"/>
  <c r="C260" i="1"/>
  <c r="P260" i="1" s="1"/>
  <c r="J259" i="1"/>
  <c r="I259" i="1"/>
  <c r="C259" i="1"/>
  <c r="P259" i="1" s="1"/>
  <c r="J258" i="1"/>
  <c r="I258" i="1"/>
  <c r="C258" i="1"/>
  <c r="P258" i="1" s="1"/>
  <c r="J257" i="1"/>
  <c r="I257" i="1"/>
  <c r="C257" i="1"/>
  <c r="P257" i="1" s="1"/>
  <c r="J256" i="1"/>
  <c r="I256" i="1"/>
  <c r="C256" i="1"/>
  <c r="P256" i="1" s="1"/>
  <c r="J255" i="1"/>
  <c r="I255" i="1"/>
  <c r="C255" i="1"/>
  <c r="P255" i="1" s="1"/>
  <c r="J254" i="1"/>
  <c r="I254" i="1"/>
  <c r="C254" i="1"/>
  <c r="P254" i="1" s="1"/>
  <c r="J253" i="1"/>
  <c r="I253" i="1"/>
  <c r="C253" i="1"/>
  <c r="P253" i="1" s="1"/>
  <c r="J252" i="1"/>
  <c r="I252" i="1"/>
  <c r="C252" i="1"/>
  <c r="P252" i="1" s="1"/>
  <c r="J251" i="1"/>
  <c r="I251" i="1"/>
  <c r="C251" i="1"/>
  <c r="P251" i="1" s="1"/>
  <c r="J250" i="1"/>
  <c r="I250" i="1"/>
  <c r="C250" i="1"/>
  <c r="P250" i="1" s="1"/>
  <c r="J249" i="1"/>
  <c r="I249" i="1"/>
  <c r="C249" i="1"/>
  <c r="P249" i="1" s="1"/>
  <c r="J248" i="1"/>
  <c r="I248" i="1"/>
  <c r="C248" i="1"/>
  <c r="P248" i="1" s="1"/>
  <c r="J247" i="1"/>
  <c r="I247" i="1"/>
  <c r="C247" i="1"/>
  <c r="P247" i="1" s="1"/>
  <c r="J246" i="1"/>
  <c r="I246" i="1"/>
  <c r="C246" i="1"/>
  <c r="P246" i="1" s="1"/>
  <c r="J245" i="1"/>
  <c r="I245" i="1"/>
  <c r="C245" i="1"/>
  <c r="P245" i="1" s="1"/>
  <c r="J244" i="1"/>
  <c r="I244" i="1"/>
  <c r="C244" i="1"/>
  <c r="P244" i="1" s="1"/>
  <c r="J243" i="1"/>
  <c r="I243" i="1"/>
  <c r="C243" i="1"/>
  <c r="P243" i="1" s="1"/>
  <c r="J242" i="1"/>
  <c r="I242" i="1"/>
  <c r="C242" i="1"/>
  <c r="P242" i="1" s="1"/>
  <c r="J241" i="1"/>
  <c r="I241" i="1"/>
  <c r="C241" i="1"/>
  <c r="P241" i="1" s="1"/>
  <c r="J240" i="1"/>
  <c r="I240" i="1"/>
  <c r="C240" i="1"/>
  <c r="P240" i="1" s="1"/>
  <c r="J239" i="1"/>
  <c r="I239" i="1"/>
  <c r="C239" i="1"/>
  <c r="P239" i="1" s="1"/>
  <c r="J238" i="1"/>
  <c r="I238" i="1"/>
  <c r="C238" i="1"/>
  <c r="P238" i="1" s="1"/>
  <c r="J237" i="1"/>
  <c r="I237" i="1"/>
  <c r="C237" i="1"/>
  <c r="P237" i="1" s="1"/>
  <c r="J236" i="1"/>
  <c r="I236" i="1"/>
  <c r="C236" i="1"/>
  <c r="P236" i="1" s="1"/>
  <c r="J235" i="1"/>
  <c r="I235" i="1"/>
  <c r="C235" i="1"/>
  <c r="P235" i="1" s="1"/>
  <c r="J234" i="1"/>
  <c r="I234" i="1"/>
  <c r="C234" i="1"/>
  <c r="P234" i="1" s="1"/>
  <c r="J233" i="1"/>
  <c r="I233" i="1"/>
  <c r="C233" i="1"/>
  <c r="P233" i="1" s="1"/>
  <c r="J232" i="1"/>
  <c r="I232" i="1"/>
  <c r="C232" i="1"/>
  <c r="P232" i="1" s="1"/>
  <c r="J231" i="1"/>
  <c r="I231" i="1"/>
  <c r="C231" i="1"/>
  <c r="P231" i="1" s="1"/>
  <c r="J230" i="1"/>
  <c r="I230" i="1"/>
  <c r="C230" i="1"/>
  <c r="P230" i="1" s="1"/>
  <c r="J229" i="1"/>
  <c r="I229" i="1"/>
  <c r="C229" i="1"/>
  <c r="P229" i="1" s="1"/>
  <c r="J228" i="1"/>
  <c r="I228" i="1"/>
  <c r="C228" i="1"/>
  <c r="P228" i="1" s="1"/>
  <c r="J227" i="1"/>
  <c r="I227" i="1"/>
  <c r="C227" i="1"/>
  <c r="P227" i="1" s="1"/>
  <c r="J226" i="1"/>
  <c r="I226" i="1"/>
  <c r="C226" i="1"/>
  <c r="P226" i="1" s="1"/>
  <c r="J225" i="1"/>
  <c r="I225" i="1"/>
  <c r="C225" i="1"/>
  <c r="P225" i="1" s="1"/>
  <c r="J224" i="1"/>
  <c r="I224" i="1"/>
  <c r="C224" i="1"/>
  <c r="P224" i="1" s="1"/>
  <c r="J223" i="1"/>
  <c r="I223" i="1"/>
  <c r="C223" i="1"/>
  <c r="P223" i="1" s="1"/>
  <c r="J222" i="1"/>
  <c r="I222" i="1"/>
  <c r="C222" i="1"/>
  <c r="P222" i="1" s="1"/>
  <c r="J221" i="1"/>
  <c r="I221" i="1"/>
  <c r="C221" i="1"/>
  <c r="P221" i="1" s="1"/>
  <c r="J220" i="1"/>
  <c r="I220" i="1"/>
  <c r="C220" i="1"/>
  <c r="P220" i="1" s="1"/>
  <c r="J219" i="1"/>
  <c r="I219" i="1"/>
  <c r="C219" i="1"/>
  <c r="P219" i="1" s="1"/>
  <c r="J218" i="1"/>
  <c r="I218" i="1"/>
  <c r="C218" i="1"/>
  <c r="P218" i="1" s="1"/>
  <c r="J217" i="1"/>
  <c r="I217" i="1"/>
  <c r="C217" i="1"/>
  <c r="P217" i="1" s="1"/>
  <c r="J216" i="1"/>
  <c r="I216" i="1"/>
  <c r="C216" i="1"/>
  <c r="P216" i="1" s="1"/>
  <c r="J215" i="1"/>
  <c r="I215" i="1"/>
  <c r="C215" i="1"/>
  <c r="P215" i="1" s="1"/>
  <c r="J214" i="1"/>
  <c r="I214" i="1"/>
  <c r="C214" i="1"/>
  <c r="P214" i="1" s="1"/>
  <c r="J213" i="1"/>
  <c r="I213" i="1"/>
  <c r="C213" i="1"/>
  <c r="P213" i="1" s="1"/>
  <c r="J212" i="1"/>
  <c r="I212" i="1"/>
  <c r="C212" i="1"/>
  <c r="P212" i="1" s="1"/>
  <c r="J211" i="1"/>
  <c r="I211" i="1"/>
  <c r="C211" i="1"/>
  <c r="P211" i="1" s="1"/>
  <c r="J210" i="1"/>
  <c r="I210" i="1"/>
  <c r="C210" i="1"/>
  <c r="P210" i="1" s="1"/>
  <c r="J209" i="1"/>
  <c r="I209" i="1"/>
  <c r="C209" i="1"/>
  <c r="P209" i="1" s="1"/>
  <c r="J208" i="1"/>
  <c r="I208" i="1"/>
  <c r="C208" i="1"/>
  <c r="P208" i="1" s="1"/>
  <c r="J207" i="1"/>
  <c r="I207" i="1"/>
  <c r="C207" i="1"/>
  <c r="P207" i="1" s="1"/>
  <c r="J206" i="1"/>
  <c r="I206" i="1"/>
  <c r="C206" i="1"/>
  <c r="P206" i="1" s="1"/>
  <c r="J205" i="1"/>
  <c r="I205" i="1"/>
  <c r="C205" i="1"/>
  <c r="P205" i="1" s="1"/>
  <c r="J204" i="1"/>
  <c r="I204" i="1"/>
  <c r="C204" i="1"/>
  <c r="P204" i="1" s="1"/>
  <c r="J203" i="1"/>
  <c r="I203" i="1"/>
  <c r="C203" i="1"/>
  <c r="P203" i="1" s="1"/>
  <c r="J202" i="1"/>
  <c r="I202" i="1"/>
  <c r="C202" i="1"/>
  <c r="P202" i="1" s="1"/>
  <c r="J201" i="1"/>
  <c r="I201" i="1"/>
  <c r="C201" i="1"/>
  <c r="P201" i="1" s="1"/>
  <c r="J200" i="1"/>
  <c r="I200" i="1"/>
  <c r="C200" i="1"/>
  <c r="P200" i="1" s="1"/>
  <c r="J199" i="1"/>
  <c r="I199" i="1"/>
  <c r="C199" i="1"/>
  <c r="P199" i="1" s="1"/>
  <c r="J198" i="1"/>
  <c r="I198" i="1"/>
  <c r="C198" i="1"/>
  <c r="P198" i="1" s="1"/>
  <c r="J197" i="1"/>
  <c r="I197" i="1"/>
  <c r="C197" i="1"/>
  <c r="P197" i="1" s="1"/>
  <c r="J196" i="1"/>
  <c r="I196" i="1"/>
  <c r="C196" i="1"/>
  <c r="P196" i="1" s="1"/>
  <c r="J195" i="1"/>
  <c r="I195" i="1"/>
  <c r="C195" i="1"/>
  <c r="P195" i="1" s="1"/>
  <c r="J194" i="1"/>
  <c r="I194" i="1"/>
  <c r="C194" i="1"/>
  <c r="P194" i="1" s="1"/>
  <c r="J193" i="1"/>
  <c r="I193" i="1"/>
  <c r="C193" i="1"/>
  <c r="P193" i="1" s="1"/>
  <c r="J192" i="1"/>
  <c r="I192" i="1"/>
  <c r="C192" i="1"/>
  <c r="P192" i="1" s="1"/>
  <c r="J191" i="1"/>
  <c r="I191" i="1"/>
  <c r="C191" i="1"/>
  <c r="P191" i="1" s="1"/>
  <c r="J190" i="1"/>
  <c r="I190" i="1"/>
  <c r="C190" i="1"/>
  <c r="P190" i="1" s="1"/>
  <c r="J189" i="1"/>
  <c r="I189" i="1"/>
  <c r="C189" i="1"/>
  <c r="P189" i="1" s="1"/>
  <c r="J188" i="1"/>
  <c r="I188" i="1"/>
  <c r="C188" i="1"/>
  <c r="P188" i="1" s="1"/>
  <c r="J187" i="1"/>
  <c r="I187" i="1"/>
  <c r="C187" i="1"/>
  <c r="P187" i="1" s="1"/>
  <c r="J186" i="1"/>
  <c r="I186" i="1"/>
  <c r="C186" i="1"/>
  <c r="P186" i="1" s="1"/>
  <c r="J185" i="1"/>
  <c r="I185" i="1"/>
  <c r="C185" i="1"/>
  <c r="P185" i="1" s="1"/>
  <c r="J184" i="1"/>
  <c r="I184" i="1"/>
  <c r="C184" i="1"/>
  <c r="P184" i="1" s="1"/>
  <c r="J183" i="1"/>
  <c r="I183" i="1"/>
  <c r="C183" i="1"/>
  <c r="P183" i="1" s="1"/>
  <c r="J182" i="1"/>
  <c r="I182" i="1"/>
  <c r="C182" i="1"/>
  <c r="P182" i="1" s="1"/>
  <c r="J181" i="1"/>
  <c r="I181" i="1"/>
  <c r="C181" i="1"/>
  <c r="P181" i="1" s="1"/>
  <c r="J180" i="1"/>
  <c r="I180" i="1"/>
  <c r="C180" i="1"/>
  <c r="P180" i="1" s="1"/>
  <c r="J179" i="1"/>
  <c r="I179" i="1"/>
  <c r="C179" i="1"/>
  <c r="P179" i="1" s="1"/>
  <c r="J178" i="1"/>
  <c r="I178" i="1"/>
  <c r="C178" i="1"/>
  <c r="P178" i="1" s="1"/>
  <c r="J177" i="1"/>
  <c r="I177" i="1"/>
  <c r="C177" i="1"/>
  <c r="P177" i="1" s="1"/>
  <c r="J176" i="1"/>
  <c r="I176" i="1"/>
  <c r="C176" i="1"/>
  <c r="P176" i="1" s="1"/>
  <c r="J175" i="1"/>
  <c r="I175" i="1"/>
  <c r="C175" i="1"/>
  <c r="P175" i="1" s="1"/>
  <c r="J174" i="1"/>
  <c r="I174" i="1"/>
  <c r="C174" i="1"/>
  <c r="P174" i="1" s="1"/>
  <c r="J173" i="1"/>
  <c r="I173" i="1"/>
  <c r="C173" i="1"/>
  <c r="P173" i="1" s="1"/>
  <c r="J172" i="1"/>
  <c r="I172" i="1"/>
  <c r="C172" i="1"/>
  <c r="P172" i="1" s="1"/>
  <c r="J171" i="1"/>
  <c r="I171" i="1"/>
  <c r="C171" i="1"/>
  <c r="P171" i="1" s="1"/>
  <c r="J170" i="1"/>
  <c r="I170" i="1"/>
  <c r="C170" i="1"/>
  <c r="P170" i="1" s="1"/>
  <c r="J169" i="1"/>
  <c r="I169" i="1"/>
  <c r="C169" i="1"/>
  <c r="P169" i="1" s="1"/>
  <c r="J168" i="1"/>
  <c r="I168" i="1"/>
  <c r="C168" i="1"/>
  <c r="P168" i="1" s="1"/>
  <c r="J167" i="1"/>
  <c r="I167" i="1"/>
  <c r="C167" i="1"/>
  <c r="P167" i="1" s="1"/>
  <c r="J166" i="1"/>
  <c r="I166" i="1"/>
  <c r="C166" i="1"/>
  <c r="P166" i="1" s="1"/>
  <c r="J165" i="1"/>
  <c r="I165" i="1"/>
  <c r="C165" i="1"/>
  <c r="P165" i="1" s="1"/>
  <c r="J164" i="1"/>
  <c r="I164" i="1"/>
  <c r="C164" i="1"/>
  <c r="P164" i="1" s="1"/>
  <c r="J163" i="1"/>
  <c r="I163" i="1"/>
  <c r="C163" i="1"/>
  <c r="P163" i="1" s="1"/>
  <c r="J162" i="1"/>
  <c r="I162" i="1"/>
  <c r="C162" i="1"/>
  <c r="P162" i="1" s="1"/>
  <c r="J161" i="1"/>
  <c r="I161" i="1"/>
  <c r="C161" i="1"/>
  <c r="P161" i="1" s="1"/>
  <c r="J160" i="1"/>
  <c r="I160" i="1"/>
  <c r="C160" i="1"/>
  <c r="P160" i="1" s="1"/>
  <c r="J159" i="1"/>
  <c r="I159" i="1"/>
  <c r="C159" i="1"/>
  <c r="P159" i="1" s="1"/>
  <c r="J158" i="1"/>
  <c r="I158" i="1"/>
  <c r="C158" i="1"/>
  <c r="P158" i="1" s="1"/>
  <c r="J157" i="1"/>
  <c r="I157" i="1"/>
  <c r="C157" i="1"/>
  <c r="P157" i="1" s="1"/>
  <c r="J156" i="1"/>
  <c r="I156" i="1"/>
  <c r="C156" i="1"/>
  <c r="P156" i="1" s="1"/>
  <c r="J155" i="1"/>
  <c r="I155" i="1"/>
  <c r="C155" i="1"/>
  <c r="P155" i="1" s="1"/>
  <c r="J154" i="1"/>
  <c r="I154" i="1"/>
  <c r="C154" i="1"/>
  <c r="P154" i="1" s="1"/>
  <c r="J153" i="1"/>
  <c r="I153" i="1"/>
  <c r="C153" i="1"/>
  <c r="P153" i="1" s="1"/>
  <c r="J152" i="1"/>
  <c r="I152" i="1"/>
  <c r="C152" i="1"/>
  <c r="P152" i="1" s="1"/>
  <c r="J151" i="1"/>
  <c r="I151" i="1"/>
  <c r="C151" i="1"/>
  <c r="P151" i="1" s="1"/>
  <c r="J150" i="1"/>
  <c r="I150" i="1"/>
  <c r="C150" i="1"/>
  <c r="P150" i="1" s="1"/>
  <c r="J149" i="1"/>
  <c r="I149" i="1"/>
  <c r="C149" i="1"/>
  <c r="P149" i="1" s="1"/>
  <c r="J148" i="1"/>
  <c r="I148" i="1"/>
  <c r="C148" i="1"/>
  <c r="P148" i="1" s="1"/>
  <c r="J147" i="1"/>
  <c r="I147" i="1"/>
  <c r="C147" i="1"/>
  <c r="P147" i="1" s="1"/>
  <c r="J146" i="1"/>
  <c r="I146" i="1"/>
  <c r="C146" i="1"/>
  <c r="P146" i="1" s="1"/>
  <c r="J145" i="1"/>
  <c r="I145" i="1"/>
  <c r="C145" i="1"/>
  <c r="P145" i="1" s="1"/>
  <c r="J144" i="1"/>
  <c r="I144" i="1"/>
  <c r="C144" i="1"/>
  <c r="P144" i="1" s="1"/>
  <c r="J143" i="1"/>
  <c r="I143" i="1"/>
  <c r="C143" i="1"/>
  <c r="P143" i="1" s="1"/>
  <c r="J142" i="1"/>
  <c r="I142" i="1"/>
  <c r="C142" i="1"/>
  <c r="P142" i="1" s="1"/>
  <c r="J141" i="1"/>
  <c r="I141" i="1"/>
  <c r="C141" i="1"/>
  <c r="P141" i="1" s="1"/>
  <c r="J140" i="1"/>
  <c r="I140" i="1"/>
  <c r="C140" i="1"/>
  <c r="P140" i="1" s="1"/>
  <c r="J139" i="1"/>
  <c r="I139" i="1"/>
  <c r="C139" i="1"/>
  <c r="P139" i="1" s="1"/>
  <c r="J138" i="1"/>
  <c r="I138" i="1"/>
  <c r="C138" i="1"/>
  <c r="P138" i="1" s="1"/>
  <c r="J137" i="1"/>
  <c r="I137" i="1"/>
  <c r="C137" i="1"/>
  <c r="P137" i="1" s="1"/>
  <c r="J136" i="1"/>
  <c r="I136" i="1"/>
  <c r="C136" i="1"/>
  <c r="P136" i="1" s="1"/>
  <c r="J135" i="1"/>
  <c r="I135" i="1"/>
  <c r="C135" i="1"/>
  <c r="P135" i="1" s="1"/>
  <c r="J134" i="1"/>
  <c r="I134" i="1"/>
  <c r="C134" i="1"/>
  <c r="P134" i="1" s="1"/>
  <c r="J133" i="1"/>
  <c r="I133" i="1"/>
  <c r="C133" i="1"/>
  <c r="P133" i="1" s="1"/>
  <c r="J132" i="1"/>
  <c r="I132" i="1"/>
  <c r="C132" i="1"/>
  <c r="P132" i="1" s="1"/>
  <c r="J131" i="1"/>
  <c r="I131" i="1"/>
  <c r="C131" i="1"/>
  <c r="P131" i="1" s="1"/>
  <c r="J130" i="1"/>
  <c r="I130" i="1"/>
  <c r="C130" i="1"/>
  <c r="P130" i="1" s="1"/>
  <c r="J129" i="1"/>
  <c r="I129" i="1"/>
  <c r="C129" i="1"/>
  <c r="P129" i="1" s="1"/>
  <c r="J128" i="1"/>
  <c r="I128" i="1"/>
  <c r="C128" i="1"/>
  <c r="P128" i="1" s="1"/>
  <c r="J127" i="1"/>
  <c r="I127" i="1"/>
  <c r="C127" i="1"/>
  <c r="P127" i="1" s="1"/>
  <c r="J126" i="1"/>
  <c r="I126" i="1"/>
  <c r="C126" i="1"/>
  <c r="P126" i="1" s="1"/>
  <c r="J125" i="1"/>
  <c r="I125" i="1"/>
  <c r="C125" i="1"/>
  <c r="P125" i="1" s="1"/>
  <c r="J124" i="1"/>
  <c r="I124" i="1"/>
  <c r="C124" i="1"/>
  <c r="P124" i="1" s="1"/>
  <c r="J123" i="1"/>
  <c r="I123" i="1"/>
  <c r="C123" i="1"/>
  <c r="P123" i="1" s="1"/>
  <c r="J122" i="1"/>
  <c r="I122" i="1"/>
  <c r="C122" i="1"/>
  <c r="P122" i="1" s="1"/>
  <c r="J121" i="1"/>
  <c r="I121" i="1"/>
  <c r="C121" i="1"/>
  <c r="P121" i="1" s="1"/>
  <c r="J120" i="1"/>
  <c r="I120" i="1"/>
  <c r="C120" i="1"/>
  <c r="P120" i="1" s="1"/>
  <c r="J119" i="1"/>
  <c r="I119" i="1"/>
  <c r="C119" i="1"/>
  <c r="P119" i="1" s="1"/>
  <c r="J118" i="1"/>
  <c r="I118" i="1"/>
  <c r="C118" i="1"/>
  <c r="P118" i="1" s="1"/>
  <c r="J117" i="1"/>
  <c r="I117" i="1"/>
  <c r="C117" i="1"/>
  <c r="P117" i="1" s="1"/>
  <c r="J116" i="1"/>
  <c r="I116" i="1"/>
  <c r="C116" i="1"/>
  <c r="P116" i="1" s="1"/>
  <c r="J115" i="1"/>
  <c r="I115" i="1"/>
  <c r="C115" i="1"/>
  <c r="P115" i="1" s="1"/>
  <c r="J114" i="1"/>
  <c r="I114" i="1"/>
  <c r="C114" i="1"/>
  <c r="P114" i="1" s="1"/>
  <c r="J113" i="1"/>
  <c r="I113" i="1"/>
  <c r="C113" i="1"/>
  <c r="P113" i="1" s="1"/>
  <c r="J112" i="1"/>
  <c r="I112" i="1"/>
  <c r="C112" i="1"/>
  <c r="P112" i="1" s="1"/>
  <c r="J111" i="1"/>
  <c r="I111" i="1"/>
  <c r="C111" i="1"/>
  <c r="P111" i="1" s="1"/>
  <c r="J110" i="1"/>
  <c r="I110" i="1"/>
  <c r="C110" i="1"/>
  <c r="P110" i="1" s="1"/>
  <c r="J109" i="1"/>
  <c r="I109" i="1"/>
  <c r="C109" i="1"/>
  <c r="P109" i="1" s="1"/>
  <c r="J108" i="1"/>
  <c r="I108" i="1"/>
  <c r="C108" i="1"/>
  <c r="P108" i="1" s="1"/>
  <c r="J107" i="1"/>
  <c r="I107" i="1"/>
  <c r="C107" i="1"/>
  <c r="P107" i="1" s="1"/>
  <c r="J106" i="1"/>
  <c r="I106" i="1"/>
  <c r="C106" i="1"/>
  <c r="P106" i="1" s="1"/>
  <c r="J105" i="1"/>
  <c r="I105" i="1"/>
  <c r="C105" i="1"/>
  <c r="P105" i="1" s="1"/>
  <c r="J104" i="1"/>
  <c r="I104" i="1"/>
  <c r="C104" i="1"/>
  <c r="P104" i="1" s="1"/>
  <c r="J103" i="1"/>
  <c r="I103" i="1"/>
  <c r="C103" i="1"/>
  <c r="P103" i="1" s="1"/>
  <c r="J102" i="1"/>
  <c r="I102" i="1"/>
  <c r="C102" i="1"/>
  <c r="P102" i="1" s="1"/>
  <c r="J101" i="1"/>
  <c r="I101" i="1"/>
  <c r="C101" i="1"/>
  <c r="P101" i="1" s="1"/>
  <c r="J100" i="1"/>
  <c r="I100" i="1"/>
  <c r="C100" i="1"/>
  <c r="P100" i="1" s="1"/>
  <c r="J99" i="1"/>
  <c r="I99" i="1"/>
  <c r="C99" i="1"/>
  <c r="P99" i="1" s="1"/>
  <c r="J98" i="1"/>
  <c r="I98" i="1"/>
  <c r="C98" i="1"/>
  <c r="P98" i="1" s="1"/>
  <c r="J97" i="1"/>
  <c r="I97" i="1"/>
  <c r="C97" i="1"/>
  <c r="P97" i="1" s="1"/>
  <c r="J96" i="1"/>
  <c r="I96" i="1"/>
  <c r="C96" i="1"/>
  <c r="P96" i="1" s="1"/>
  <c r="J95" i="1"/>
  <c r="I95" i="1"/>
  <c r="C95" i="1"/>
  <c r="P95" i="1" s="1"/>
  <c r="J94" i="1"/>
  <c r="I94" i="1"/>
  <c r="C94" i="1"/>
  <c r="P94" i="1" s="1"/>
  <c r="J93" i="1"/>
  <c r="I93" i="1"/>
  <c r="C93" i="1"/>
  <c r="P93" i="1" s="1"/>
  <c r="J92" i="1"/>
  <c r="I92" i="1"/>
  <c r="C92" i="1"/>
  <c r="P92" i="1" s="1"/>
  <c r="J91" i="1"/>
  <c r="I91" i="1"/>
  <c r="C91" i="1"/>
  <c r="P91" i="1" s="1"/>
  <c r="J90" i="1"/>
  <c r="I90" i="1"/>
  <c r="C90" i="1"/>
  <c r="P90" i="1" s="1"/>
  <c r="J89" i="1"/>
  <c r="I89" i="1"/>
  <c r="C89" i="1"/>
  <c r="P89" i="1" s="1"/>
  <c r="J88" i="1"/>
  <c r="I88" i="1"/>
  <c r="C88" i="1"/>
  <c r="P88" i="1" s="1"/>
  <c r="J87" i="1"/>
  <c r="I87" i="1"/>
  <c r="C87" i="1"/>
  <c r="P87" i="1" s="1"/>
  <c r="J86" i="1"/>
  <c r="I86" i="1"/>
  <c r="C86" i="1"/>
  <c r="P86" i="1" s="1"/>
  <c r="J85" i="1"/>
  <c r="I85" i="1"/>
  <c r="C85" i="1"/>
  <c r="P85" i="1" s="1"/>
  <c r="J84" i="1"/>
  <c r="I84" i="1"/>
  <c r="C84" i="1"/>
  <c r="P84" i="1" s="1"/>
  <c r="J83" i="1"/>
  <c r="I83" i="1"/>
  <c r="C83" i="1"/>
  <c r="P83" i="1" s="1"/>
  <c r="J82" i="1"/>
  <c r="I82" i="1"/>
  <c r="C82" i="1"/>
  <c r="P82" i="1" s="1"/>
  <c r="J81" i="1"/>
  <c r="I81" i="1"/>
  <c r="C81" i="1"/>
  <c r="P81" i="1" s="1"/>
  <c r="J80" i="1"/>
  <c r="I80" i="1"/>
  <c r="C80" i="1"/>
  <c r="P80" i="1" s="1"/>
  <c r="J79" i="1"/>
  <c r="I79" i="1"/>
  <c r="C79" i="1"/>
  <c r="P79" i="1" s="1"/>
  <c r="J78" i="1"/>
  <c r="I78" i="1"/>
  <c r="C78" i="1"/>
  <c r="P78" i="1" s="1"/>
  <c r="J77" i="1"/>
  <c r="I77" i="1"/>
  <c r="C77" i="1"/>
  <c r="P77" i="1" s="1"/>
  <c r="J76" i="1"/>
  <c r="I76" i="1"/>
  <c r="C76" i="1"/>
  <c r="P76" i="1" s="1"/>
  <c r="J75" i="1"/>
  <c r="I75" i="1"/>
  <c r="C75" i="1"/>
  <c r="P75" i="1" s="1"/>
  <c r="J74" i="1"/>
  <c r="I74" i="1"/>
  <c r="C74" i="1"/>
  <c r="P74" i="1" s="1"/>
  <c r="J73" i="1"/>
  <c r="I73" i="1"/>
  <c r="C73" i="1"/>
  <c r="P73" i="1" s="1"/>
  <c r="J72" i="1"/>
  <c r="I72" i="1"/>
  <c r="C72" i="1"/>
  <c r="P72" i="1" s="1"/>
  <c r="J71" i="1"/>
  <c r="I71" i="1"/>
  <c r="C71" i="1"/>
  <c r="P71" i="1" s="1"/>
  <c r="J70" i="1"/>
  <c r="I70" i="1"/>
  <c r="C70" i="1"/>
  <c r="P70" i="1" s="1"/>
  <c r="J69" i="1"/>
  <c r="I69" i="1"/>
  <c r="C69" i="1"/>
  <c r="P69" i="1" s="1"/>
  <c r="J68" i="1"/>
  <c r="I68" i="1"/>
  <c r="C68" i="1"/>
  <c r="P68" i="1" s="1"/>
  <c r="J67" i="1"/>
  <c r="I67" i="1"/>
  <c r="C67" i="1"/>
  <c r="P67" i="1" s="1"/>
  <c r="J66" i="1"/>
  <c r="I66" i="1"/>
  <c r="C66" i="1"/>
  <c r="P66" i="1" s="1"/>
  <c r="J65" i="1"/>
  <c r="I65" i="1"/>
  <c r="C65" i="1"/>
  <c r="P65" i="1" s="1"/>
  <c r="J64" i="1"/>
  <c r="I64" i="1"/>
  <c r="C64" i="1"/>
  <c r="P64" i="1" s="1"/>
  <c r="J63" i="1"/>
  <c r="I63" i="1"/>
  <c r="C63" i="1"/>
  <c r="P63" i="1" s="1"/>
  <c r="J62" i="1"/>
  <c r="I62" i="1"/>
  <c r="C62" i="1"/>
  <c r="P62" i="1" s="1"/>
  <c r="J61" i="1"/>
  <c r="I61" i="1"/>
  <c r="C61" i="1"/>
  <c r="P61" i="1" s="1"/>
  <c r="J60" i="1"/>
  <c r="I60" i="1"/>
  <c r="C60" i="1"/>
  <c r="P60" i="1" s="1"/>
  <c r="J59" i="1"/>
  <c r="I59" i="1"/>
  <c r="C59" i="1"/>
  <c r="P59" i="1" s="1"/>
  <c r="J58" i="1"/>
  <c r="I58" i="1"/>
  <c r="C58" i="1"/>
  <c r="P58" i="1" s="1"/>
  <c r="J57" i="1"/>
  <c r="I57" i="1"/>
  <c r="C57" i="1"/>
  <c r="P57" i="1" s="1"/>
  <c r="J56" i="1"/>
  <c r="I56" i="1"/>
  <c r="C56" i="1"/>
  <c r="P56" i="1" s="1"/>
  <c r="J55" i="1"/>
  <c r="I55" i="1"/>
  <c r="C55" i="1"/>
  <c r="P55" i="1" s="1"/>
  <c r="J54" i="1"/>
  <c r="I54" i="1"/>
  <c r="C54" i="1"/>
  <c r="P54" i="1" s="1"/>
  <c r="J53" i="1"/>
  <c r="I53" i="1"/>
  <c r="C53" i="1"/>
  <c r="P53" i="1" s="1"/>
  <c r="J52" i="1"/>
  <c r="I52" i="1"/>
  <c r="C52" i="1"/>
  <c r="P52" i="1" s="1"/>
  <c r="J51" i="1"/>
  <c r="I51" i="1"/>
  <c r="C51" i="1"/>
  <c r="P51" i="1" s="1"/>
  <c r="J50" i="1"/>
  <c r="I50" i="1"/>
  <c r="C50" i="1"/>
  <c r="P50" i="1" s="1"/>
  <c r="J49" i="1"/>
  <c r="I49" i="1"/>
  <c r="C49" i="1"/>
  <c r="P49" i="1" s="1"/>
  <c r="J48" i="1"/>
  <c r="I48" i="1"/>
  <c r="C48" i="1"/>
  <c r="P48" i="1" s="1"/>
  <c r="J47" i="1"/>
  <c r="I47" i="1"/>
  <c r="C47" i="1"/>
  <c r="P47" i="1" s="1"/>
  <c r="J46" i="1"/>
  <c r="I46" i="1"/>
  <c r="C46" i="1"/>
  <c r="P46" i="1" s="1"/>
  <c r="J45" i="1"/>
  <c r="I45" i="1"/>
  <c r="C45" i="1"/>
  <c r="P45" i="1" s="1"/>
  <c r="J44" i="1"/>
  <c r="I44" i="1"/>
  <c r="C44" i="1"/>
  <c r="P44" i="1" s="1"/>
  <c r="J43" i="1"/>
  <c r="I43" i="1"/>
  <c r="C43" i="1"/>
  <c r="P43" i="1" s="1"/>
  <c r="J42" i="1"/>
  <c r="I42" i="1"/>
  <c r="C42" i="1"/>
  <c r="P42" i="1" s="1"/>
  <c r="J41" i="1"/>
  <c r="I41" i="1"/>
  <c r="C41" i="1"/>
  <c r="P41" i="1" s="1"/>
  <c r="J40" i="1"/>
  <c r="I40" i="1"/>
  <c r="C40" i="1"/>
  <c r="P40" i="1" s="1"/>
  <c r="J39" i="1"/>
  <c r="I39" i="1"/>
  <c r="C39" i="1"/>
  <c r="P39" i="1" s="1"/>
  <c r="J38" i="1"/>
  <c r="I38" i="1"/>
  <c r="C38" i="1"/>
  <c r="P38" i="1" s="1"/>
  <c r="J37" i="1"/>
  <c r="I37" i="1"/>
  <c r="C37" i="1"/>
  <c r="P37" i="1" s="1"/>
  <c r="J36" i="1"/>
  <c r="I36" i="1"/>
  <c r="C36" i="1"/>
  <c r="P36" i="1" s="1"/>
  <c r="J35" i="1"/>
  <c r="I35" i="1"/>
  <c r="C35" i="1"/>
  <c r="P35" i="1" s="1"/>
  <c r="J34" i="1"/>
  <c r="I34" i="1"/>
  <c r="C34" i="1"/>
  <c r="P34" i="1" s="1"/>
  <c r="J33" i="1"/>
  <c r="I33" i="1"/>
  <c r="C33" i="1"/>
  <c r="P33" i="1" s="1"/>
  <c r="J32" i="1"/>
  <c r="I32" i="1"/>
  <c r="C32" i="1"/>
  <c r="P32" i="1" s="1"/>
  <c r="J31" i="1"/>
  <c r="I31" i="1"/>
  <c r="C31" i="1"/>
  <c r="P31" i="1" s="1"/>
  <c r="J30" i="1"/>
  <c r="I30" i="1"/>
  <c r="C30" i="1"/>
  <c r="P30" i="1" s="1"/>
  <c r="J29" i="1"/>
  <c r="I29" i="1"/>
  <c r="C29" i="1"/>
  <c r="P29" i="1" s="1"/>
  <c r="J28" i="1"/>
  <c r="I28" i="1"/>
  <c r="C28" i="1"/>
  <c r="P28" i="1" s="1"/>
  <c r="J27" i="1"/>
  <c r="I27" i="1"/>
  <c r="C27" i="1"/>
  <c r="P27" i="1" s="1"/>
  <c r="J26" i="1"/>
  <c r="I26" i="1"/>
  <c r="C26" i="1"/>
  <c r="P26" i="1" s="1"/>
  <c r="J25" i="1"/>
  <c r="I25" i="1"/>
  <c r="C25" i="1"/>
  <c r="P25" i="1" s="1"/>
  <c r="J24" i="1"/>
  <c r="I24" i="1"/>
  <c r="C24" i="1"/>
  <c r="P24" i="1" s="1"/>
  <c r="J23" i="1"/>
  <c r="I23" i="1"/>
  <c r="C23" i="1"/>
  <c r="P23" i="1" s="1"/>
  <c r="J22" i="1"/>
  <c r="I22" i="1"/>
  <c r="C22" i="1"/>
  <c r="P22" i="1" s="1"/>
  <c r="J21" i="1"/>
  <c r="I21" i="1"/>
  <c r="C21" i="1"/>
  <c r="P21" i="1" s="1"/>
  <c r="J20" i="1"/>
  <c r="I20" i="1"/>
  <c r="C20" i="1"/>
  <c r="P20" i="1" s="1"/>
  <c r="J19" i="1"/>
  <c r="I19" i="1"/>
  <c r="C19" i="1"/>
  <c r="P19" i="1" s="1"/>
  <c r="J18" i="1"/>
  <c r="I18" i="1"/>
  <c r="C18" i="1"/>
  <c r="P18" i="1" s="1"/>
  <c r="J17" i="1"/>
  <c r="I17" i="1"/>
  <c r="C17" i="1"/>
  <c r="P17" i="1" s="1"/>
  <c r="J16" i="1"/>
  <c r="I16" i="1"/>
  <c r="C16" i="1"/>
  <c r="P16" i="1" s="1"/>
  <c r="J15" i="1"/>
  <c r="I15" i="1"/>
  <c r="C15" i="1"/>
  <c r="P15" i="1" s="1"/>
  <c r="J14" i="1"/>
  <c r="I14" i="1"/>
  <c r="C14" i="1"/>
  <c r="P14" i="1" s="1"/>
  <c r="J13" i="1"/>
  <c r="I13" i="1"/>
  <c r="C13" i="1"/>
  <c r="P13" i="1" s="1"/>
  <c r="J12" i="1"/>
  <c r="I12" i="1"/>
  <c r="C12" i="1"/>
  <c r="P12" i="1" s="1"/>
  <c r="J11" i="1"/>
  <c r="I11" i="1"/>
  <c r="C11" i="1"/>
  <c r="P11" i="1" s="1"/>
  <c r="J10" i="1"/>
  <c r="I10" i="1"/>
  <c r="C10" i="1"/>
  <c r="P10" i="1" s="1"/>
  <c r="J9" i="1"/>
  <c r="I9" i="1"/>
  <c r="C9" i="1"/>
  <c r="P9" i="1" s="1"/>
  <c r="J8" i="1"/>
  <c r="I8" i="1"/>
  <c r="C8" i="1"/>
  <c r="P8" i="1" s="1"/>
  <c r="J7" i="1"/>
  <c r="I7" i="1"/>
  <c r="C7" i="1"/>
  <c r="P7" i="1" s="1"/>
  <c r="J6" i="1"/>
  <c r="I6" i="1"/>
  <c r="C6" i="1"/>
  <c r="P6" i="1" s="1"/>
</calcChain>
</file>

<file path=xl/sharedStrings.xml><?xml version="1.0" encoding="utf-8"?>
<sst xmlns="http://schemas.openxmlformats.org/spreadsheetml/2006/main" count="2053" uniqueCount="179">
  <si>
    <t>Dados dos indicadores materno-infantis</t>
  </si>
  <si>
    <t>Dados transcritos do documento disponibilizado. As linhas vazias ao final podem ser usadas para os próximos períodos.</t>
  </si>
  <si>
    <t>periodo_referencia</t>
  </si>
  <si>
    <t>codigo_indicador</t>
  </si>
  <si>
    <t>nome_indicador</t>
  </si>
  <si>
    <t>tipo_atendimento</t>
  </si>
  <si>
    <t>detalhamento</t>
  </si>
  <si>
    <t>resultado_informado</t>
  </si>
  <si>
    <t>numerador</t>
  </si>
  <si>
    <t>denominador</t>
  </si>
  <si>
    <t>resultado_para_dashboard</t>
  </si>
  <si>
    <t>unidade_medida</t>
  </si>
  <si>
    <t>justificativa_observacao</t>
  </si>
  <si>
    <t>relatorio_fonte</t>
  </si>
  <si>
    <t>data_do_registro</t>
  </si>
  <si>
    <t>area_responsavel</t>
  </si>
  <si>
    <t>situacao_do_dado</t>
  </si>
  <si>
    <t>conferencia_preenchimento</t>
  </si>
  <si>
    <t>2017</t>
  </si>
  <si>
    <t>SUS</t>
  </si>
  <si>
    <t>Sem detalhamento</t>
  </si>
  <si>
    <t>RN prematuro; indisposição materna; desconforto respiratório agudo.</t>
  </si>
  <si>
    <t>Relatório cód. 2017</t>
  </si>
  <si>
    <t>Coordenação da Maternidade</t>
  </si>
  <si>
    <t>Transcrito do documento</t>
  </si>
  <si>
    <t>Saúde suplementar</t>
  </si>
  <si>
    <t>Indisposição materna; RN nauseado; intercorrência materna.</t>
  </si>
  <si>
    <t>RN PIG; sofrimento fetal agudo; desconforto respiratório agudo.</t>
  </si>
  <si>
    <t>RN em observação; necessidade de CPAP; prematuridade; mãe após anestesia geral.</t>
  </si>
  <si>
    <t>Prematuridade; desconforto respiratório agudo.</t>
  </si>
  <si>
    <t>Aquecimento e observação; prematuridade; necessidade de CPAP.</t>
  </si>
  <si>
    <t>Prematuridade; RN nasceu em apneia.</t>
  </si>
  <si>
    <t>Aquecimento e observação; desconforto respiratório agudo; prematuridade.</t>
  </si>
  <si>
    <t>Prematuridade; desconforto respiratório agudo; escolha materna.</t>
  </si>
  <si>
    <t>Retenção placentária; desconforto respiratório agudo; HIV positivo; mãe após anestesia geral; prematuridade.</t>
  </si>
  <si>
    <t>Desconforto respiratório agudo; mãe sem sorologias e aguardando exames; hemorragia pós-parto; taquipneia transitória; CPAP.</t>
  </si>
  <si>
    <t>Taquipneia transitória; hemorragia pós-parto; observação e aquecimento na UCI.</t>
  </si>
  <si>
    <t>Desconforto respiratório agudo; taquipneia transitória; CPAP.</t>
  </si>
  <si>
    <t>Taquipneia transitória; observação e aquecimento na UCI; desconforto respiratório com CPAP.</t>
  </si>
  <si>
    <t>Desconforto respiratório agudo; indisposição materna; observação na UCI.</t>
  </si>
  <si>
    <t>Taquipneia transitória; observação e aquecimento na UCI; desconforto respiratório agudo.</t>
  </si>
  <si>
    <t>2097</t>
  </si>
  <si>
    <t>102 RN avaliados; 22 RN de risco (21,60%).</t>
  </si>
  <si>
    <t>Relatório cód. 2097</t>
  </si>
  <si>
    <t>70 RN avaliados; 17 RN de risco (24,30%).</t>
  </si>
  <si>
    <t>65 RN avaliados; 18 RN de risco (27,70%).</t>
  </si>
  <si>
    <t>32 RN avaliados; 11 RN de risco (34,40%).</t>
  </si>
  <si>
    <t>79 RN avaliados; 18 RN de risco (22,80%).</t>
  </si>
  <si>
    <t>72 RN avaliados; 16 RN de risco (22,20%).</t>
  </si>
  <si>
    <t>91 RN avaliados; 17 RN de risco (18,50%).</t>
  </si>
  <si>
    <t>47 RN avaliados; 10 RN de risco (21,00%).</t>
  </si>
  <si>
    <t>79 RN avaliados; 14 RN de risco (17,72%).</t>
  </si>
  <si>
    <t>50 RN avaliados; 10 RN de risco (20,00%).</t>
  </si>
  <si>
    <t>105 RN avaliados; 20 RN de risco (19,05%).</t>
  </si>
  <si>
    <t>55 RN avaliados; 9 RN de risco (16,36%).</t>
  </si>
  <si>
    <t>CRITERIOS_RN_RISCO</t>
  </si>
  <si>
    <t>Má formação congênita</t>
  </si>
  <si>
    <t>Um mesmo RN pode apresentar mais de um critério.</t>
  </si>
  <si>
    <t>Relatório analítico de critérios de risco dos RN</t>
  </si>
  <si>
    <t>Prematuridade abaixo de 37 semanas de idade gestacional</t>
  </si>
  <si>
    <t>Icterícia em nível de exsanguineotransfusão</t>
  </si>
  <si>
    <t>Sepse ou sorologias maternas alteradas</t>
  </si>
  <si>
    <t>Desconforto respiratório</t>
  </si>
  <si>
    <t>Baixo peso ao nascer, PIG ou GIG</t>
  </si>
  <si>
    <t>Sofrimento fetal agudo</t>
  </si>
  <si>
    <t>Filho de mãe usuária de drogas</t>
  </si>
  <si>
    <t>2103</t>
  </si>
  <si>
    <t>Prematuridade e UTI neonatal; VDRL positivo; asfixia perinatal; baixo peso ao nascer.</t>
  </si>
  <si>
    <t>Relatório cód. 2103</t>
  </si>
  <si>
    <t>Prematuridade e UTI neonatal.</t>
  </si>
  <si>
    <t>Uso materno de drogas ilícitas; RN PIG; VDRL positivo; desconforto respiratório; prematuridade e UTI neonatal; asfixia perinatal.</t>
  </si>
  <si>
    <t>Prematuridade e UTI neonatal; RN PIG; VDRL positivo.</t>
  </si>
  <si>
    <t>Prematuridade; baixo peso; doença da membrana hialina; alterações neurológicas; suspeita de trissomia 21; RN GIG; toxoplasmose materna.</t>
  </si>
  <si>
    <t>RN GIG; baixo peso e prematuridade; taquipneia transitória; crise convulsiva.</t>
  </si>
  <si>
    <t>Prematuridade; sofrimento fetal agudo; desconforto respiratório.</t>
  </si>
  <si>
    <t>Prematuridade; taquipneia transitória.</t>
  </si>
  <si>
    <t>Baixo peso ao nascer; desconforto respiratório agudo.</t>
  </si>
  <si>
    <t>Desconforto respiratório; exames maternos alterados.</t>
  </si>
  <si>
    <t>2015</t>
  </si>
  <si>
    <t>Relatório cód. 2015</t>
  </si>
  <si>
    <t>2014</t>
  </si>
  <si>
    <t>Relatório cód. 2014</t>
  </si>
  <si>
    <t>Aplicação da escala ainda não era padronizada para saúde suplementar.</t>
  </si>
  <si>
    <t>Rotatividade da equipe.</t>
  </si>
  <si>
    <t>CRI_MENOR_5</t>
  </si>
  <si>
    <t>Geral</t>
  </si>
  <si>
    <t>Residentes de Divinópolis</t>
  </si>
  <si>
    <t>Relatório Soul por faixa etária</t>
  </si>
  <si>
    <t>Coordenação Assistencial</t>
  </si>
  <si>
    <t>CRI_6_A_9</t>
  </si>
  <si>
    <t>A tabela original informa o ano de 2025.</t>
  </si>
  <si>
    <t>PARTOS</t>
  </si>
  <si>
    <t>Parto normal - alto risco</t>
  </si>
  <si>
    <t>Planilha de partos do BO</t>
  </si>
  <si>
    <t>Parto normal - risco habitual</t>
  </si>
  <si>
    <t>Parto cesáreo - alto risco</t>
  </si>
  <si>
    <t>Parto cesáreo - risco habitual</t>
  </si>
  <si>
    <t>Parto normal - sem estratificação de risco</t>
  </si>
  <si>
    <t>Parto cesáreo - sem estratificação de risco</t>
  </si>
  <si>
    <t>PORTA_MEDICO</t>
  </si>
  <si>
    <t>Todas as classificações</t>
  </si>
  <si>
    <t>Relatório 2024</t>
  </si>
  <si>
    <t>Amarelas e laranjas</t>
  </si>
  <si>
    <t>Azul e verde</t>
  </si>
  <si>
    <t>PA_PREPARTO</t>
  </si>
  <si>
    <t>Tempo originalmente informado em horas e minutos; convertido para minutos.</t>
  </si>
  <si>
    <t>Relatório 2023</t>
  </si>
  <si>
    <t>ICSAP</t>
  </si>
  <si>
    <t>Relatório específico do DRG</t>
  </si>
  <si>
    <t>Em elaboração</t>
  </si>
  <si>
    <t>Referência</t>
  </si>
  <si>
    <t>definicao</t>
  </si>
  <si>
    <t>metodo_calculo</t>
  </si>
  <si>
    <t>frequencia</t>
  </si>
  <si>
    <t>area_referencia</t>
  </si>
  <si>
    <t>parametro</t>
  </si>
  <si>
    <t>Percentual de recém-nascidos com amamentação na primeira hora de vida</t>
  </si>
  <si>
    <t>Proporção de RN amamentados na primeira hora em relação aos nascidos vivos hospitalares.</t>
  </si>
  <si>
    <t>RN amamentados na 1ª hora / nascidos vivos hospitalares × 100</t>
  </si>
  <si>
    <t>Semestral</t>
  </si>
  <si>
    <t>Acima de 70%</t>
  </si>
  <si>
    <t>percentual</t>
  </si>
  <si>
    <t>Tempo médio de internação do RN de risco</t>
  </si>
  <si>
    <t>Tempo médio de internação hospitalar dos RN classificados como de risco.</t>
  </si>
  <si>
    <t>Soma dos dias de internação / RN de risco internados</t>
  </si>
  <si>
    <t>Não se aplica</t>
  </si>
  <si>
    <t>dias</t>
  </si>
  <si>
    <t>Critérios identificados nos RN classificados como de risco</t>
  </si>
  <si>
    <t>Relatório analítico</t>
  </si>
  <si>
    <t>Contagem dos critérios registrados para RN de risco.</t>
  </si>
  <si>
    <t>Contagem por critério; um RN pode ter mais de um critério</t>
  </si>
  <si>
    <t>Mensal no documento</t>
  </si>
  <si>
    <t>quantidade</t>
  </si>
  <si>
    <t>Proporção de recém-nascidos de risco encaminhados ao PIPA</t>
  </si>
  <si>
    <t>Proporção de RN de risco encaminhados ao PIPA.</t>
  </si>
  <si>
    <t>RN encaminhados / RN de risco identificados × 100</t>
  </si>
  <si>
    <t>Acima de 95%</t>
  </si>
  <si>
    <t>Taxa de aplicação do instrumento ACCR</t>
  </si>
  <si>
    <t>Proporção de gestantes admitidas com aplicação registrada do ACCR.</t>
  </si>
  <si>
    <t>Gestantes com ACCR / gestantes admitidas × 100</t>
  </si>
  <si>
    <t>Taxa de aplicação da classificação de Robson</t>
  </si>
  <si>
    <t>Proporção de partos classificados segundo Robson.</t>
  </si>
  <si>
    <t>Partos classificados / total de partos × 100</t>
  </si>
  <si>
    <t>Crianças menores de 5 anos internadas</t>
  </si>
  <si>
    <t>Quantidade mensal de crianças menores de 5 anos internadas.</t>
  </si>
  <si>
    <t>Contagem mensal</t>
  </si>
  <si>
    <t>Crianças de 6 a 9 anos internadas</t>
  </si>
  <si>
    <t>Quantidade mensal de crianças de 6 a 9 anos internadas.</t>
  </si>
  <si>
    <t>Não informada</t>
  </si>
  <si>
    <t>Quantidade de partos por tipo</t>
  </si>
  <si>
    <t>Quantidade de partos normais e cesáreos por atendimento e risco.</t>
  </si>
  <si>
    <t>Contagem por tipo; percentual = tipo / total × 100</t>
  </si>
  <si>
    <t>10% a 15% de partos cesáreos</t>
  </si>
  <si>
    <t>Tempo médio de espera porta-médico hospitalar</t>
  </si>
  <si>
    <t>Tempo médio entre chegada e primeiro atendimento médico.</t>
  </si>
  <si>
    <t>Soma dos tempos / total de atendimentos</t>
  </si>
  <si>
    <t>minutos</t>
  </si>
  <si>
    <t>Tempo médio de espera do pronto atendimento ao pré-parto</t>
  </si>
  <si>
    <t>Tempo médio entre chegada e recebimento no pré-parto.</t>
  </si>
  <si>
    <t>Percentual de internações por condições sensíveis à atenção primária</t>
  </si>
  <si>
    <t>Proporção de internações por causas sensíveis à APS.</t>
  </si>
  <si>
    <t>Internações por condições sensíveis / total de internações × 100</t>
  </si>
  <si>
    <t>Abaixo de 20%</t>
  </si>
  <si>
    <t>Como usar a planilha</t>
  </si>
  <si>
    <t>Regras de preenchimento</t>
  </si>
  <si>
    <t>1</t>
  </si>
  <si>
    <t>Uma linha representa um resultado de um indicador, período, atendimento e detalhamento.</t>
  </si>
  <si>
    <t>2</t>
  </si>
  <si>
    <t>Ao selecionar codigo_indicador, nome_indicador e unidade_medida são preenchidos automaticamente.</t>
  </si>
  <si>
    <t>3</t>
  </si>
  <si>
    <t>Se o documento trouxer o resultado pronto, preencha resultado_informado.</t>
  </si>
  <si>
    <t>4</t>
  </si>
  <si>
    <t>Se houver somente numerador e denominador, deixe resultado_informado vazio; o resultado será calculado.</t>
  </si>
  <si>
    <t>6</t>
  </si>
  <si>
    <t>Amarelo indica entrada manual; verde indica campo automático.</t>
  </si>
  <si>
    <t>detalhamento_comum</t>
  </si>
  <si>
    <t>Revisado</t>
  </si>
  <si>
    <t>Validado</t>
  </si>
  <si>
    <t>Retificado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</si>
</sst>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yyyy"/>
    <numFmt numFmtId="165" formatCode="0.0"/>
  </numFmts>
  <fonts count="8">
    <font>
      <sz val="11"/>
      <name val="Carlito"/>
    </font>
    <font>
      <sz val="10"/>
      <color rgb="FF1F2937"/>
      <name val="Arial"/>
    </font>
    <font>
      <b/>
      <sz val="15"/>
      <color rgb="FF173E69"/>
      <name val="Arial"/>
    </font>
    <font>
      <i/>
      <sz val="10"/>
      <color rgb="FF667085"/>
      <name val="Arial"/>
    </font>
    <font>
      <b/>
      <sz val="10"/>
      <color rgb="FFFFFFFF"/>
      <name val="Arial"/>
    </font>
    <font>
      <b/>
      <sz val="16"/>
      <color rgb="FF173E69"/>
      <name val="Arial"/>
    </font>
    <font>
      <b/>
      <sz val="10"/>
      <color rgb="FF173E69"/>
      <name val="Arial"/>
    </font>
    <font>
      <u/>
      <sz val="10"/>
      <color rgb="FF1F2937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F3E8"/>
      </patternFill>
    </fill>
    <fill>
      <patternFill patternType="solid">
        <fgColor rgb="FF215792"/>
      </patternFill>
    </fill>
    <fill>
      <patternFill patternType="solid">
        <fgColor rgb="FFDCEAF7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/>
    <xf numFmtId="14" fontId="1" fillId="2" borderId="0" xfId="0" applyNumberFormat="1" applyFont="1" applyFill="1" applyAlignment="1">
      <alignment vertical="center"/>
    </xf>
    <xf numFmtId="10" fontId="1" fillId="2" borderId="0" xfId="0" applyNumberFormat="1" applyFont="1" applyFill="1"/>
    <xf numFmtId="10" fontId="1" fillId="3" borderId="0" xfId="0" applyNumberFormat="1" applyFont="1" applyFill="1" applyAlignment="1">
      <alignment vertical="center"/>
    </xf>
    <xf numFmtId="165" fontId="1" fillId="2" borderId="0" xfId="0" applyNumberFormat="1" applyFont="1" applyFill="1"/>
    <xf numFmtId="165" fontId="1" fillId="3" borderId="0" xfId="0" applyNumberFormat="1" applyFont="1" applyFill="1" applyAlignment="1">
      <alignment vertical="center"/>
    </xf>
    <xf numFmtId="3" fontId="1" fillId="2" borderId="0" xfId="0" applyNumberFormat="1" applyFont="1" applyFill="1"/>
    <xf numFmtId="3" fontId="1" fillId="3" borderId="0" xfId="0" applyNumberFormat="1" applyFont="1" applyFill="1" applyAlignment="1">
      <alignment vertical="center"/>
    </xf>
    <xf numFmtId="4" fontId="1" fillId="2" borderId="0" xfId="0" applyNumberFormat="1" applyFont="1" applyFill="1"/>
    <xf numFmtId="0" fontId="1" fillId="0" borderId="0" xfId="0" applyFont="1" applyAlignment="1">
      <alignment wrapText="1"/>
    </xf>
    <xf numFmtId="0" fontId="1" fillId="0" borderId="1" xfId="0" applyFont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7" fillId="3" borderId="0" xfId="0" applyFont="1" applyFill="1"/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4" fillId="4" borderId="0" xfId="0" applyFont="1" applyFill="1" applyAlignment="1"/>
  </cellXfs>
  <cellStyles count="1">
    <cellStyle name="Normal" xfId="0" builtinId="0"/>
  </cellStyles>
  <dxfs count="2">
    <dxf>
      <font>
        <b/>
        <color rgb="FF245B32"/>
      </font>
      <fill>
        <patternFill>
          <bgColor rgb="FFE8F3E8"/>
        </patternFill>
      </fill>
    </dxf>
    <dxf>
      <font>
        <b/>
        <color rgb="FFB42318"/>
      </font>
      <fill>
        <patternFill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2857500" cy="4038600"/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DadosIndicadores" displayName="tbDadosIndicadores" ref="A5:P323" totalsRowShown="0">
  <tableColumns count="16">
    <tableColumn id="1" xr3:uid="{00000000-0010-0000-0000-000001000000}" name="periodo_referencia"/>
    <tableColumn id="2" xr3:uid="{00000000-0010-0000-0000-000002000000}" name="codigo_indicador"/>
    <tableColumn id="3" xr3:uid="{00000000-0010-0000-0000-000003000000}" name="nome_indicador"/>
    <tableColumn id="4" xr3:uid="{00000000-0010-0000-0000-000004000000}" name="tipo_atendimento"/>
    <tableColumn id="5" xr3:uid="{00000000-0010-0000-0000-000005000000}" name="detalhamento"/>
    <tableColumn id="6" xr3:uid="{00000000-0010-0000-0000-000006000000}" name="resultado_informado"/>
    <tableColumn id="7" xr3:uid="{00000000-0010-0000-0000-000007000000}" name="numerador"/>
    <tableColumn id="8" xr3:uid="{00000000-0010-0000-0000-000008000000}" name="denominador"/>
    <tableColumn id="9" xr3:uid="{00000000-0010-0000-0000-000009000000}" name="resultado_para_dashboard"/>
    <tableColumn id="10" xr3:uid="{00000000-0010-0000-0000-00000A000000}" name="unidade_medida"/>
    <tableColumn id="11" xr3:uid="{00000000-0010-0000-0000-00000B000000}" name="justificativa_observacao"/>
    <tableColumn id="12" xr3:uid="{00000000-0010-0000-0000-00000C000000}" name="relatorio_fonte"/>
    <tableColumn id="13" xr3:uid="{00000000-0010-0000-0000-00000D000000}" name="data_do_registro"/>
    <tableColumn id="14" xr3:uid="{00000000-0010-0000-0000-00000E000000}" name="area_responsavel"/>
    <tableColumn id="15" xr3:uid="{00000000-0010-0000-0000-00000F000000}" name="situacao_do_dado"/>
    <tableColumn id="16" xr3:uid="{00000000-0010-0000-0000-000010000000}" name="conferencia_preenchim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CadastroIndicadores" displayName="tbCadastroIndicadores" ref="A4:I16" totalsRowShown="0">
  <tableColumns count="9">
    <tableColumn id="1" xr3:uid="{00000000-0010-0000-0100-000001000000}" name="codigo_indicador"/>
    <tableColumn id="2" xr3:uid="{00000000-0010-0000-0100-000002000000}" name="nome_indicador"/>
    <tableColumn id="3" xr3:uid="{00000000-0010-0000-0100-000003000000}" name="relatorio_fonte"/>
    <tableColumn id="4" xr3:uid="{00000000-0010-0000-0100-000004000000}" name="definicao"/>
    <tableColumn id="5" xr3:uid="{00000000-0010-0000-0100-000005000000}" name="metodo_calculo"/>
    <tableColumn id="6" xr3:uid="{00000000-0010-0000-0100-000006000000}" name="frequencia"/>
    <tableColumn id="7" xr3:uid="{00000000-0010-0000-0100-000007000000}" name="area_referencia"/>
    <tableColumn id="8" xr3:uid="{00000000-0010-0000-0100-000008000000}" name="parametro"/>
    <tableColumn id="9" xr3:uid="{00000000-0010-0000-0100-000009000000}" name="unidade_med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E69"/>
  </sheetPr>
  <dimension ref="A1:Z400"/>
  <sheetViews>
    <sheetView showGridLines="0" tabSelected="1" workbookViewId="0">
      <pane xSplit="2" ySplit="5" topLeftCell="C6" activePane="bottomRight" state="frozen"/>
      <selection pane="bottomRight" activeCell="C6" sqref="C6"/>
      <selection pane="bottomLeft"/>
      <selection pane="topRight"/>
    </sheetView>
  </sheetViews>
  <sheetFormatPr defaultRowHeight="14.25"/>
  <cols>
    <col min="1" max="1" width="15" customWidth="1"/>
    <col min="2" max="2" width="20" customWidth="1"/>
    <col min="3" max="3" width="46" customWidth="1"/>
    <col min="4" max="4" width="23" customWidth="1"/>
    <col min="5" max="5" width="40" customWidth="1"/>
    <col min="6" max="6" width="20" customWidth="1"/>
    <col min="7" max="8" width="14" customWidth="1"/>
    <col min="9" max="9" width="23" customWidth="1"/>
    <col min="10" max="10" width="17" customWidth="1"/>
    <col min="11" max="11" width="55" customWidth="1"/>
    <col min="12" max="12" width="30" customWidth="1"/>
    <col min="13" max="13" width="18" customWidth="1"/>
    <col min="14" max="14" width="26" customWidth="1"/>
    <col min="15" max="15" width="23" customWidth="1"/>
    <col min="16" max="16" width="26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7">
        <v>46023</v>
      </c>
      <c r="B6" s="2" t="s">
        <v>18</v>
      </c>
      <c r="C6" s="21" t="str">
        <f>IFERROR(VLOOKUP(B6,Referência!$A$5:$I$16,2,FALSE),"")</f>
        <v>Percentual de recém-nascidos com amamentação na primeira hora de vida</v>
      </c>
      <c r="D6" s="2" t="s">
        <v>19</v>
      </c>
      <c r="E6" s="2" t="s">
        <v>20</v>
      </c>
      <c r="F6" s="9">
        <v>0.93200000000000005</v>
      </c>
      <c r="G6" s="15">
        <v>82</v>
      </c>
      <c r="H6" s="15">
        <v>88</v>
      </c>
      <c r="I6" s="10">
        <f t="shared" ref="I6:I69" si="0">IF(B6="","",IF(F6&lt;&gt;"",F6,IF(AND(G6&lt;&gt;"",H6&lt;&gt;""),IF(H6=0,"",G6/H6),"")))</f>
        <v>0.93200000000000005</v>
      </c>
      <c r="J6" s="4" t="str">
        <f>IFERROR(VLOOKUP(B6,Referência!$A$5:$I$16,9,FALSE),"")</f>
        <v>percentual</v>
      </c>
      <c r="K6" s="6" t="s">
        <v>21</v>
      </c>
      <c r="L6" s="5" t="s">
        <v>22</v>
      </c>
      <c r="M6" s="8">
        <v>46276</v>
      </c>
      <c r="N6" s="5" t="s">
        <v>23</v>
      </c>
      <c r="O6" s="5" t="s">
        <v>24</v>
      </c>
      <c r="P6" s="4" t="str">
        <f t="shared" ref="P6:P69" si="1">IF(B6="","",IF(OR(A6="",C6="",D6="",E6="",I6="",J6="",L6="",M6="",N6="",O6=""),"INCOMPLETO","COMPLETO"))</f>
        <v>COMPLETO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7">
        <v>46023</v>
      </c>
      <c r="B7" s="2" t="s">
        <v>18</v>
      </c>
      <c r="C7" s="3" t="str">
        <f>IFERROR(VLOOKUP(B7,Referência!$A$5:$I$16,2,FALSE),"")</f>
        <v>Percentual de recém-nascidos com amamentação na primeira hora de vida</v>
      </c>
      <c r="D7" s="2" t="s">
        <v>25</v>
      </c>
      <c r="E7" s="2" t="s">
        <v>20</v>
      </c>
      <c r="F7" s="9">
        <v>0.875</v>
      </c>
      <c r="G7" s="15">
        <v>56</v>
      </c>
      <c r="H7" s="15">
        <v>64</v>
      </c>
      <c r="I7" s="10">
        <f t="shared" si="0"/>
        <v>0.875</v>
      </c>
      <c r="J7" s="4" t="str">
        <f>IFERROR(VLOOKUP(B7,Referência!$A$5:$I$16,9,FALSE),"")</f>
        <v>percentual</v>
      </c>
      <c r="K7" s="6" t="s">
        <v>26</v>
      </c>
      <c r="L7" s="5" t="s">
        <v>22</v>
      </c>
      <c r="M7" s="8">
        <v>46276</v>
      </c>
      <c r="N7" s="5" t="s">
        <v>23</v>
      </c>
      <c r="O7" s="5" t="s">
        <v>24</v>
      </c>
      <c r="P7" s="4" t="str">
        <f t="shared" si="1"/>
        <v>COMPLETO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7">
        <v>46054</v>
      </c>
      <c r="B8" s="2" t="s">
        <v>18</v>
      </c>
      <c r="C8" s="3" t="str">
        <f>IFERROR(VLOOKUP(B8,Referência!$A$5:$I$16,2,FALSE),"")</f>
        <v>Percentual de recém-nascidos com amamentação na primeira hora de vida</v>
      </c>
      <c r="D8" s="2" t="s">
        <v>19</v>
      </c>
      <c r="E8" s="2" t="s">
        <v>20</v>
      </c>
      <c r="F8" s="9">
        <v>0.92300000000000004</v>
      </c>
      <c r="G8" s="15">
        <v>60</v>
      </c>
      <c r="H8" s="15">
        <v>65</v>
      </c>
      <c r="I8" s="10">
        <f t="shared" si="0"/>
        <v>0.92300000000000004</v>
      </c>
      <c r="J8" s="4" t="str">
        <f>IFERROR(VLOOKUP(B8,Referência!$A$5:$I$16,9,FALSE),"")</f>
        <v>percentual</v>
      </c>
      <c r="K8" s="6" t="s">
        <v>27</v>
      </c>
      <c r="L8" s="5" t="s">
        <v>22</v>
      </c>
      <c r="M8" s="8">
        <v>46276</v>
      </c>
      <c r="N8" s="5" t="s">
        <v>23</v>
      </c>
      <c r="O8" s="5" t="s">
        <v>24</v>
      </c>
      <c r="P8" s="4" t="str">
        <f t="shared" si="1"/>
        <v>COMPLETO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7">
        <v>46054</v>
      </c>
      <c r="B9" s="2" t="s">
        <v>18</v>
      </c>
      <c r="C9" s="3" t="str">
        <f>IFERROR(VLOOKUP(B9,Referência!$A$5:$I$16,2,FALSE),"")</f>
        <v>Percentual de recém-nascidos com amamentação na primeira hora de vida</v>
      </c>
      <c r="D9" s="2" t="s">
        <v>25</v>
      </c>
      <c r="E9" s="2" t="s">
        <v>20</v>
      </c>
      <c r="F9" s="9">
        <v>0.86799999999999999</v>
      </c>
      <c r="G9" s="15">
        <v>59</v>
      </c>
      <c r="H9" s="15">
        <v>68</v>
      </c>
      <c r="I9" s="10">
        <f t="shared" si="0"/>
        <v>0.86799999999999999</v>
      </c>
      <c r="J9" s="4" t="str">
        <f>IFERROR(VLOOKUP(B9,Referência!$A$5:$I$16,9,FALSE),"")</f>
        <v>percentual</v>
      </c>
      <c r="K9" s="6" t="s">
        <v>28</v>
      </c>
      <c r="L9" s="5" t="s">
        <v>22</v>
      </c>
      <c r="M9" s="8">
        <v>46276</v>
      </c>
      <c r="N9" s="5" t="s">
        <v>23</v>
      </c>
      <c r="O9" s="5" t="s">
        <v>24</v>
      </c>
      <c r="P9" s="4" t="str">
        <f t="shared" si="1"/>
        <v>COMPLETO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7">
        <v>46082</v>
      </c>
      <c r="B10" s="2" t="s">
        <v>18</v>
      </c>
      <c r="C10" s="3" t="str">
        <f>IFERROR(VLOOKUP(B10,Referência!$A$5:$I$16,2,FALSE),"")</f>
        <v>Percentual de recém-nascidos com amamentação na primeira hora de vida</v>
      </c>
      <c r="D10" s="2" t="s">
        <v>19</v>
      </c>
      <c r="E10" s="2" t="s">
        <v>20</v>
      </c>
      <c r="F10" s="9">
        <v>0.94499999999999995</v>
      </c>
      <c r="G10" s="15">
        <v>121</v>
      </c>
      <c r="H10" s="15">
        <v>128</v>
      </c>
      <c r="I10" s="10">
        <f t="shared" si="0"/>
        <v>0.94499999999999995</v>
      </c>
      <c r="J10" s="4" t="str">
        <f>IFERROR(VLOOKUP(B10,Referência!$A$5:$I$16,9,FALSE),"")</f>
        <v>percentual</v>
      </c>
      <c r="K10" s="6" t="s">
        <v>29</v>
      </c>
      <c r="L10" s="5" t="s">
        <v>22</v>
      </c>
      <c r="M10" s="8">
        <v>46276</v>
      </c>
      <c r="N10" s="5" t="s">
        <v>23</v>
      </c>
      <c r="O10" s="5" t="s">
        <v>24</v>
      </c>
      <c r="P10" s="4" t="str">
        <f t="shared" si="1"/>
        <v>COMPLETO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7">
        <v>46082</v>
      </c>
      <c r="B11" s="2" t="s">
        <v>18</v>
      </c>
      <c r="C11" s="3" t="str">
        <f>IFERROR(VLOOKUP(B11,Referência!$A$5:$I$16,2,FALSE),"")</f>
        <v>Percentual de recém-nascidos com amamentação na primeira hora de vida</v>
      </c>
      <c r="D11" s="2" t="s">
        <v>25</v>
      </c>
      <c r="E11" s="2" t="s">
        <v>20</v>
      </c>
      <c r="F11" s="9">
        <v>0.85</v>
      </c>
      <c r="G11" s="15">
        <v>68</v>
      </c>
      <c r="H11" s="15">
        <v>80</v>
      </c>
      <c r="I11" s="10">
        <f t="shared" si="0"/>
        <v>0.85</v>
      </c>
      <c r="J11" s="4" t="str">
        <f>IFERROR(VLOOKUP(B11,Referência!$A$5:$I$16,9,FALSE),"")</f>
        <v>percentual</v>
      </c>
      <c r="K11" s="6" t="s">
        <v>30</v>
      </c>
      <c r="L11" s="5" t="s">
        <v>22</v>
      </c>
      <c r="M11" s="8">
        <v>46276</v>
      </c>
      <c r="N11" s="5" t="s">
        <v>23</v>
      </c>
      <c r="O11" s="5" t="s">
        <v>24</v>
      </c>
      <c r="P11" s="4" t="str">
        <f t="shared" si="1"/>
        <v>COMPLETO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7">
        <v>46113</v>
      </c>
      <c r="B12" s="2" t="s">
        <v>18</v>
      </c>
      <c r="C12" s="3" t="str">
        <f>IFERROR(VLOOKUP(B12,Referência!$A$5:$I$16,2,FALSE),"")</f>
        <v>Percentual de recém-nascidos com amamentação na primeira hora de vida</v>
      </c>
      <c r="D12" s="2" t="s">
        <v>19</v>
      </c>
      <c r="E12" s="2" t="s">
        <v>20</v>
      </c>
      <c r="F12" s="9">
        <v>0.90600000000000003</v>
      </c>
      <c r="G12" s="15">
        <v>87</v>
      </c>
      <c r="H12" s="15">
        <v>96</v>
      </c>
      <c r="I12" s="10">
        <f t="shared" si="0"/>
        <v>0.90600000000000003</v>
      </c>
      <c r="J12" s="4" t="str">
        <f>IFERROR(VLOOKUP(B12,Referência!$A$5:$I$16,9,FALSE),"")</f>
        <v>percentual</v>
      </c>
      <c r="K12" s="6" t="s">
        <v>31</v>
      </c>
      <c r="L12" s="5" t="s">
        <v>22</v>
      </c>
      <c r="M12" s="8">
        <v>46276</v>
      </c>
      <c r="N12" s="5" t="s">
        <v>23</v>
      </c>
      <c r="O12" s="5" t="s">
        <v>24</v>
      </c>
      <c r="P12" s="4" t="str">
        <f t="shared" si="1"/>
        <v>COMPLETO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7">
        <v>46113</v>
      </c>
      <c r="B13" s="2" t="s">
        <v>18</v>
      </c>
      <c r="C13" s="3" t="str">
        <f>IFERROR(VLOOKUP(B13,Referência!$A$5:$I$16,2,FALSE),"")</f>
        <v>Percentual de recém-nascidos com amamentação na primeira hora de vida</v>
      </c>
      <c r="D13" s="2" t="s">
        <v>25</v>
      </c>
      <c r="E13" s="2" t="s">
        <v>20</v>
      </c>
      <c r="F13" s="9">
        <v>0.81399999999999995</v>
      </c>
      <c r="G13" s="15">
        <v>48</v>
      </c>
      <c r="H13" s="15">
        <v>59</v>
      </c>
      <c r="I13" s="10">
        <f t="shared" si="0"/>
        <v>0.81399999999999995</v>
      </c>
      <c r="J13" s="4" t="str">
        <f>IFERROR(VLOOKUP(B13,Referência!$A$5:$I$16,9,FALSE),"")</f>
        <v>percentual</v>
      </c>
      <c r="K13" s="6" t="s">
        <v>32</v>
      </c>
      <c r="L13" s="5" t="s">
        <v>22</v>
      </c>
      <c r="M13" s="8">
        <v>46276</v>
      </c>
      <c r="N13" s="5" t="s">
        <v>23</v>
      </c>
      <c r="O13" s="5" t="s">
        <v>24</v>
      </c>
      <c r="P13" s="4" t="str">
        <f t="shared" si="1"/>
        <v>COMPLETO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7">
        <v>46143</v>
      </c>
      <c r="B14" s="2" t="s">
        <v>18</v>
      </c>
      <c r="C14" s="3" t="str">
        <f>IFERROR(VLOOKUP(B14,Referência!$A$5:$I$16,2,FALSE),"")</f>
        <v>Percentual de recém-nascidos com amamentação na primeira hora de vida</v>
      </c>
      <c r="D14" s="2" t="s">
        <v>19</v>
      </c>
      <c r="E14" s="2" t="s">
        <v>20</v>
      </c>
      <c r="F14" s="9">
        <v>0.94699999999999995</v>
      </c>
      <c r="G14" s="15">
        <v>89</v>
      </c>
      <c r="H14" s="15">
        <v>94</v>
      </c>
      <c r="I14" s="10">
        <f t="shared" si="0"/>
        <v>0.94699999999999995</v>
      </c>
      <c r="J14" s="4" t="str">
        <f>IFERROR(VLOOKUP(B14,Referência!$A$5:$I$16,9,FALSE),"")</f>
        <v>percentual</v>
      </c>
      <c r="K14" s="6" t="s">
        <v>33</v>
      </c>
      <c r="L14" s="5" t="s">
        <v>22</v>
      </c>
      <c r="M14" s="8">
        <v>46276</v>
      </c>
      <c r="N14" s="5" t="s">
        <v>23</v>
      </c>
      <c r="O14" s="5" t="s">
        <v>24</v>
      </c>
      <c r="P14" s="4" t="str">
        <f t="shared" si="1"/>
        <v>COMPLETO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>
      <c r="A15" s="7">
        <v>46143</v>
      </c>
      <c r="B15" s="2" t="s">
        <v>18</v>
      </c>
      <c r="C15" s="3" t="str">
        <f>IFERROR(VLOOKUP(B15,Referência!$A$5:$I$16,2,FALSE),"")</f>
        <v>Percentual de recém-nascidos com amamentação na primeira hora de vida</v>
      </c>
      <c r="D15" s="2" t="s">
        <v>25</v>
      </c>
      <c r="E15" s="2" t="s">
        <v>20</v>
      </c>
      <c r="F15" s="9">
        <v>0.85699999999999998</v>
      </c>
      <c r="G15" s="15">
        <v>60</v>
      </c>
      <c r="H15" s="15">
        <v>70</v>
      </c>
      <c r="I15" s="10">
        <f t="shared" si="0"/>
        <v>0.85699999999999998</v>
      </c>
      <c r="J15" s="4" t="str">
        <f>IFERROR(VLOOKUP(B15,Referência!$A$5:$I$16,9,FALSE),"")</f>
        <v>percentual</v>
      </c>
      <c r="K15" s="6" t="s">
        <v>34</v>
      </c>
      <c r="L15" s="5" t="s">
        <v>22</v>
      </c>
      <c r="M15" s="8">
        <v>46276</v>
      </c>
      <c r="N15" s="5" t="s">
        <v>23</v>
      </c>
      <c r="O15" s="5" t="s">
        <v>24</v>
      </c>
      <c r="P15" s="4" t="str">
        <f t="shared" si="1"/>
        <v>COMPLETO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7">
        <v>46174</v>
      </c>
      <c r="B16" s="2" t="s">
        <v>18</v>
      </c>
      <c r="C16" s="3" t="str">
        <f>IFERROR(VLOOKUP(B16,Referência!$A$5:$I$16,2,FALSE),"")</f>
        <v>Percentual de recém-nascidos com amamentação na primeira hora de vida</v>
      </c>
      <c r="D16" s="2" t="s">
        <v>19</v>
      </c>
      <c r="E16" s="2" t="s">
        <v>20</v>
      </c>
      <c r="F16" s="9">
        <v>0.86499999999999999</v>
      </c>
      <c r="G16" s="15">
        <v>90</v>
      </c>
      <c r="H16" s="15">
        <v>104</v>
      </c>
      <c r="I16" s="10">
        <f t="shared" si="0"/>
        <v>0.86499999999999999</v>
      </c>
      <c r="J16" s="4" t="str">
        <f>IFERROR(VLOOKUP(B16,Referência!$A$5:$I$16,9,FALSE),"")</f>
        <v>percentual</v>
      </c>
      <c r="K16" s="6" t="s">
        <v>35</v>
      </c>
      <c r="L16" s="5" t="s">
        <v>22</v>
      </c>
      <c r="M16" s="8">
        <v>46276</v>
      </c>
      <c r="N16" s="5" t="s">
        <v>23</v>
      </c>
      <c r="O16" s="5" t="s">
        <v>24</v>
      </c>
      <c r="P16" s="4" t="str">
        <f t="shared" si="1"/>
        <v>COMPLETO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>
      <c r="A17" s="7">
        <v>46174</v>
      </c>
      <c r="B17" s="2" t="s">
        <v>18</v>
      </c>
      <c r="C17" s="3" t="str">
        <f>IFERROR(VLOOKUP(B17,Referência!$A$5:$I$16,2,FALSE),"")</f>
        <v>Percentual de recém-nascidos com amamentação na primeira hora de vida</v>
      </c>
      <c r="D17" s="2" t="s">
        <v>25</v>
      </c>
      <c r="E17" s="2" t="s">
        <v>20</v>
      </c>
      <c r="F17" s="9">
        <v>0.93500000000000005</v>
      </c>
      <c r="G17" s="15">
        <v>58</v>
      </c>
      <c r="H17" s="15">
        <v>62</v>
      </c>
      <c r="I17" s="10">
        <f t="shared" si="0"/>
        <v>0.93500000000000005</v>
      </c>
      <c r="J17" s="4" t="str">
        <f>IFERROR(VLOOKUP(B17,Referência!$A$5:$I$16,9,FALSE),"")</f>
        <v>percentual</v>
      </c>
      <c r="K17" s="6" t="s">
        <v>36</v>
      </c>
      <c r="L17" s="5" t="s">
        <v>22</v>
      </c>
      <c r="M17" s="8">
        <v>46276</v>
      </c>
      <c r="N17" s="5" t="s">
        <v>23</v>
      </c>
      <c r="O17" s="5" t="s">
        <v>24</v>
      </c>
      <c r="P17" s="4" t="str">
        <f t="shared" si="1"/>
        <v>COMPLETO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7">
        <v>46204</v>
      </c>
      <c r="B18" s="2" t="s">
        <v>18</v>
      </c>
      <c r="C18" s="3" t="str">
        <f>IFERROR(VLOOKUP(B18,Referência!$A$5:$I$16,2,FALSE),"")</f>
        <v>Percentual de recém-nascidos com amamentação na primeira hora de vida</v>
      </c>
      <c r="D18" s="2" t="s">
        <v>19</v>
      </c>
      <c r="E18" s="2" t="s">
        <v>20</v>
      </c>
      <c r="F18" s="9">
        <v>0.91500000000000004</v>
      </c>
      <c r="G18" s="15">
        <v>75</v>
      </c>
      <c r="H18" s="15">
        <v>82</v>
      </c>
      <c r="I18" s="10">
        <f t="shared" si="0"/>
        <v>0.91500000000000004</v>
      </c>
      <c r="J18" s="4" t="str">
        <f>IFERROR(VLOOKUP(B18,Referência!$A$5:$I$16,9,FALSE),"")</f>
        <v>percentual</v>
      </c>
      <c r="K18" s="6" t="s">
        <v>37</v>
      </c>
      <c r="L18" s="5" t="s">
        <v>22</v>
      </c>
      <c r="M18" s="8">
        <v>46276</v>
      </c>
      <c r="N18" s="5" t="s">
        <v>23</v>
      </c>
      <c r="O18" s="5" t="s">
        <v>24</v>
      </c>
      <c r="P18" s="4" t="str">
        <f t="shared" si="1"/>
        <v>COMPLETO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>
      <c r="A19" s="7">
        <v>46204</v>
      </c>
      <c r="B19" s="2" t="s">
        <v>18</v>
      </c>
      <c r="C19" s="3" t="str">
        <f>IFERROR(VLOOKUP(B19,Referência!$A$5:$I$16,2,FALSE),"")</f>
        <v>Percentual de recém-nascidos com amamentação na primeira hora de vida</v>
      </c>
      <c r="D19" s="2" t="s">
        <v>25</v>
      </c>
      <c r="E19" s="2" t="s">
        <v>20</v>
      </c>
      <c r="F19" s="9">
        <v>0.82499999999999996</v>
      </c>
      <c r="G19" s="15">
        <v>52</v>
      </c>
      <c r="H19" s="15">
        <v>63</v>
      </c>
      <c r="I19" s="10">
        <f t="shared" si="0"/>
        <v>0.82499999999999996</v>
      </c>
      <c r="J19" s="4" t="str">
        <f>IFERROR(VLOOKUP(B19,Referência!$A$5:$I$16,9,FALSE),"")</f>
        <v>percentual</v>
      </c>
      <c r="K19" s="6" t="s">
        <v>38</v>
      </c>
      <c r="L19" s="5" t="s">
        <v>22</v>
      </c>
      <c r="M19" s="8">
        <v>46276</v>
      </c>
      <c r="N19" s="5" t="s">
        <v>23</v>
      </c>
      <c r="O19" s="5" t="s">
        <v>24</v>
      </c>
      <c r="P19" s="4" t="str">
        <f t="shared" si="1"/>
        <v>COMPLETO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>
      <c r="A20" s="7">
        <v>46235</v>
      </c>
      <c r="B20" s="2" t="s">
        <v>18</v>
      </c>
      <c r="C20" s="3" t="str">
        <f>IFERROR(VLOOKUP(B20,Referência!$A$5:$I$16,2,FALSE),"")</f>
        <v>Percentual de recém-nascidos com amamentação na primeira hora de vida</v>
      </c>
      <c r="D20" s="2" t="s">
        <v>19</v>
      </c>
      <c r="E20" s="2" t="s">
        <v>20</v>
      </c>
      <c r="F20" s="9">
        <v>0.95399999999999996</v>
      </c>
      <c r="G20" s="15">
        <v>103</v>
      </c>
      <c r="H20" s="15">
        <v>108</v>
      </c>
      <c r="I20" s="10">
        <f t="shared" si="0"/>
        <v>0.95399999999999996</v>
      </c>
      <c r="J20" s="4" t="str">
        <f>IFERROR(VLOOKUP(B20,Referência!$A$5:$I$16,9,FALSE),"")</f>
        <v>percentual</v>
      </c>
      <c r="K20" s="6" t="s">
        <v>39</v>
      </c>
      <c r="L20" s="5" t="s">
        <v>22</v>
      </c>
      <c r="M20" s="8">
        <v>46276</v>
      </c>
      <c r="N20" s="5" t="s">
        <v>23</v>
      </c>
      <c r="O20" s="5" t="s">
        <v>24</v>
      </c>
      <c r="P20" s="4" t="str">
        <f t="shared" si="1"/>
        <v>COMPLETO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7">
        <v>46235</v>
      </c>
      <c r="B21" s="2" t="s">
        <v>18</v>
      </c>
      <c r="C21" s="3" t="str">
        <f>IFERROR(VLOOKUP(B21,Referência!$A$5:$I$16,2,FALSE),"")</f>
        <v>Percentual de recém-nascidos com amamentação na primeira hora de vida</v>
      </c>
      <c r="D21" s="2" t="s">
        <v>25</v>
      </c>
      <c r="E21" s="2" t="s">
        <v>20</v>
      </c>
      <c r="F21" s="9">
        <v>0.86</v>
      </c>
      <c r="G21" s="15">
        <v>74</v>
      </c>
      <c r="H21" s="15">
        <v>86</v>
      </c>
      <c r="I21" s="10">
        <f t="shared" si="0"/>
        <v>0.86</v>
      </c>
      <c r="J21" s="4" t="str">
        <f>IFERROR(VLOOKUP(B21,Referência!$A$5:$I$16,9,FALSE),"")</f>
        <v>percentual</v>
      </c>
      <c r="K21" s="6" t="s">
        <v>40</v>
      </c>
      <c r="L21" s="5" t="s">
        <v>22</v>
      </c>
      <c r="M21" s="8">
        <v>46276</v>
      </c>
      <c r="N21" s="5" t="s">
        <v>23</v>
      </c>
      <c r="O21" s="5" t="s">
        <v>24</v>
      </c>
      <c r="P21" s="4" t="str">
        <f t="shared" si="1"/>
        <v>COMPLETO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7">
        <v>46082</v>
      </c>
      <c r="B22" s="2" t="s">
        <v>41</v>
      </c>
      <c r="C22" s="3" t="str">
        <f>IFERROR(VLOOKUP(B22,Referência!$A$5:$I$16,2,FALSE),"")</f>
        <v>Tempo médio de internação do RN de risco</v>
      </c>
      <c r="D22" s="2" t="s">
        <v>19</v>
      </c>
      <c r="E22" s="2" t="s">
        <v>20</v>
      </c>
      <c r="F22" s="11">
        <v>2.9</v>
      </c>
      <c r="G22" s="15">
        <v>63.8</v>
      </c>
      <c r="H22" s="15">
        <v>22</v>
      </c>
      <c r="I22" s="12">
        <f t="shared" si="0"/>
        <v>2.9</v>
      </c>
      <c r="J22" s="4" t="str">
        <f>IFERROR(VLOOKUP(B22,Referência!$A$5:$I$16,9,FALSE),"")</f>
        <v>dias</v>
      </c>
      <c r="K22" s="6" t="s">
        <v>42</v>
      </c>
      <c r="L22" s="5" t="s">
        <v>43</v>
      </c>
      <c r="M22" s="8">
        <v>46276</v>
      </c>
      <c r="N22" s="5" t="s">
        <v>23</v>
      </c>
      <c r="O22" s="5" t="s">
        <v>24</v>
      </c>
      <c r="P22" s="4" t="str">
        <f t="shared" si="1"/>
        <v>COMPLETO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7">
        <v>46082</v>
      </c>
      <c r="B23" s="2" t="s">
        <v>41</v>
      </c>
      <c r="C23" s="3" t="str">
        <f>IFERROR(VLOOKUP(B23,Referência!$A$5:$I$16,2,FALSE),"")</f>
        <v>Tempo médio de internação do RN de risco</v>
      </c>
      <c r="D23" s="2" t="s">
        <v>25</v>
      </c>
      <c r="E23" s="2" t="s">
        <v>20</v>
      </c>
      <c r="F23" s="11">
        <v>3.5</v>
      </c>
      <c r="G23" s="15">
        <v>59.5</v>
      </c>
      <c r="H23" s="15">
        <v>17</v>
      </c>
      <c r="I23" s="12">
        <f t="shared" si="0"/>
        <v>3.5</v>
      </c>
      <c r="J23" s="4" t="str">
        <f>IFERROR(VLOOKUP(B23,Referência!$A$5:$I$16,9,FALSE),"")</f>
        <v>dias</v>
      </c>
      <c r="K23" s="6" t="s">
        <v>44</v>
      </c>
      <c r="L23" s="5" t="s">
        <v>43</v>
      </c>
      <c r="M23" s="8">
        <v>46276</v>
      </c>
      <c r="N23" s="5" t="s">
        <v>23</v>
      </c>
      <c r="O23" s="5" t="s">
        <v>24</v>
      </c>
      <c r="P23" s="4" t="str">
        <f t="shared" si="1"/>
        <v>COMPLETO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7">
        <v>46113</v>
      </c>
      <c r="B24" s="2" t="s">
        <v>41</v>
      </c>
      <c r="C24" s="3" t="str">
        <f>IFERROR(VLOOKUP(B24,Referência!$A$5:$I$16,2,FALSE),"")</f>
        <v>Tempo médio de internação do RN de risco</v>
      </c>
      <c r="D24" s="2" t="s">
        <v>19</v>
      </c>
      <c r="E24" s="2" t="s">
        <v>20</v>
      </c>
      <c r="F24" s="11">
        <v>3.3</v>
      </c>
      <c r="G24" s="15">
        <v>59.4</v>
      </c>
      <c r="H24" s="15">
        <v>18</v>
      </c>
      <c r="I24" s="12">
        <f t="shared" si="0"/>
        <v>3.3</v>
      </c>
      <c r="J24" s="4" t="str">
        <f>IFERROR(VLOOKUP(B24,Referência!$A$5:$I$16,9,FALSE),"")</f>
        <v>dias</v>
      </c>
      <c r="K24" s="6" t="s">
        <v>45</v>
      </c>
      <c r="L24" s="5" t="s">
        <v>43</v>
      </c>
      <c r="M24" s="8">
        <v>46276</v>
      </c>
      <c r="N24" s="5" t="s">
        <v>23</v>
      </c>
      <c r="O24" s="5" t="s">
        <v>24</v>
      </c>
      <c r="P24" s="4" t="str">
        <f t="shared" si="1"/>
        <v>COMPLETO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7">
        <v>46113</v>
      </c>
      <c r="B25" s="2" t="s">
        <v>41</v>
      </c>
      <c r="C25" s="3" t="str">
        <f>IFERROR(VLOOKUP(B25,Referência!$A$5:$I$16,2,FALSE),"")</f>
        <v>Tempo médio de internação do RN de risco</v>
      </c>
      <c r="D25" s="2" t="s">
        <v>25</v>
      </c>
      <c r="E25" s="2" t="s">
        <v>20</v>
      </c>
      <c r="F25" s="11">
        <v>11.8</v>
      </c>
      <c r="G25" s="15">
        <v>129.80000000000001</v>
      </c>
      <c r="H25" s="15">
        <v>11</v>
      </c>
      <c r="I25" s="12">
        <f t="shared" si="0"/>
        <v>11.8</v>
      </c>
      <c r="J25" s="4" t="str">
        <f>IFERROR(VLOOKUP(B25,Referência!$A$5:$I$16,9,FALSE),"")</f>
        <v>dias</v>
      </c>
      <c r="K25" s="6" t="s">
        <v>46</v>
      </c>
      <c r="L25" s="5" t="s">
        <v>43</v>
      </c>
      <c r="M25" s="8">
        <v>46276</v>
      </c>
      <c r="N25" s="5" t="s">
        <v>23</v>
      </c>
      <c r="O25" s="5" t="s">
        <v>24</v>
      </c>
      <c r="P25" s="4" t="str">
        <f t="shared" si="1"/>
        <v>COMPLETO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7">
        <v>46143</v>
      </c>
      <c r="B26" s="2" t="s">
        <v>41</v>
      </c>
      <c r="C26" s="3" t="str">
        <f>IFERROR(VLOOKUP(B26,Referência!$A$5:$I$16,2,FALSE),"")</f>
        <v>Tempo médio de internação do RN de risco</v>
      </c>
      <c r="D26" s="2" t="s">
        <v>19</v>
      </c>
      <c r="E26" s="2" t="s">
        <v>20</v>
      </c>
      <c r="F26" s="11">
        <v>10.5</v>
      </c>
      <c r="G26" s="15">
        <v>189</v>
      </c>
      <c r="H26" s="15">
        <v>18</v>
      </c>
      <c r="I26" s="12">
        <f t="shared" si="0"/>
        <v>10.5</v>
      </c>
      <c r="J26" s="4" t="str">
        <f>IFERROR(VLOOKUP(B26,Referência!$A$5:$I$16,9,FALSE),"")</f>
        <v>dias</v>
      </c>
      <c r="K26" s="6" t="s">
        <v>47</v>
      </c>
      <c r="L26" s="5" t="s">
        <v>43</v>
      </c>
      <c r="M26" s="8">
        <v>46276</v>
      </c>
      <c r="N26" s="5" t="s">
        <v>23</v>
      </c>
      <c r="O26" s="5" t="s">
        <v>24</v>
      </c>
      <c r="P26" s="4" t="str">
        <f t="shared" si="1"/>
        <v>COMPLETO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7">
        <v>46143</v>
      </c>
      <c r="B27" s="2" t="s">
        <v>41</v>
      </c>
      <c r="C27" s="3" t="str">
        <f>IFERROR(VLOOKUP(B27,Referência!$A$5:$I$16,2,FALSE),"")</f>
        <v>Tempo médio de internação do RN de risco</v>
      </c>
      <c r="D27" s="2" t="s">
        <v>25</v>
      </c>
      <c r="E27" s="2" t="s">
        <v>20</v>
      </c>
      <c r="F27" s="11">
        <v>6.3</v>
      </c>
      <c r="G27" s="15">
        <v>100.8</v>
      </c>
      <c r="H27" s="15">
        <v>16</v>
      </c>
      <c r="I27" s="12">
        <f t="shared" si="0"/>
        <v>6.3</v>
      </c>
      <c r="J27" s="4" t="str">
        <f>IFERROR(VLOOKUP(B27,Referência!$A$5:$I$16,9,FALSE),"")</f>
        <v>dias</v>
      </c>
      <c r="K27" s="6" t="s">
        <v>48</v>
      </c>
      <c r="L27" s="5" t="s">
        <v>43</v>
      </c>
      <c r="M27" s="8">
        <v>46276</v>
      </c>
      <c r="N27" s="5" t="s">
        <v>23</v>
      </c>
      <c r="O27" s="5" t="s">
        <v>24</v>
      </c>
      <c r="P27" s="4" t="str">
        <f t="shared" si="1"/>
        <v>COMPLETO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7">
        <v>46174</v>
      </c>
      <c r="B28" s="2" t="s">
        <v>41</v>
      </c>
      <c r="C28" s="3" t="str">
        <f>IFERROR(VLOOKUP(B28,Referência!$A$5:$I$16,2,FALSE),"")</f>
        <v>Tempo médio de internação do RN de risco</v>
      </c>
      <c r="D28" s="2" t="s">
        <v>19</v>
      </c>
      <c r="E28" s="2" t="s">
        <v>20</v>
      </c>
      <c r="F28" s="11">
        <v>2.4</v>
      </c>
      <c r="G28" s="15">
        <v>40.799999999999997</v>
      </c>
      <c r="H28" s="15">
        <v>17</v>
      </c>
      <c r="I28" s="12">
        <f t="shared" si="0"/>
        <v>2.4</v>
      </c>
      <c r="J28" s="4" t="str">
        <f>IFERROR(VLOOKUP(B28,Referência!$A$5:$I$16,9,FALSE),"")</f>
        <v>dias</v>
      </c>
      <c r="K28" s="6" t="s">
        <v>49</v>
      </c>
      <c r="L28" s="5" t="s">
        <v>43</v>
      </c>
      <c r="M28" s="8">
        <v>46276</v>
      </c>
      <c r="N28" s="5" t="s">
        <v>23</v>
      </c>
      <c r="O28" s="5" t="s">
        <v>24</v>
      </c>
      <c r="P28" s="4" t="str">
        <f t="shared" si="1"/>
        <v>COMPLETO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7">
        <v>46174</v>
      </c>
      <c r="B29" s="2" t="s">
        <v>41</v>
      </c>
      <c r="C29" s="3" t="str">
        <f>IFERROR(VLOOKUP(B29,Referência!$A$5:$I$16,2,FALSE),"")</f>
        <v>Tempo médio de internação do RN de risco</v>
      </c>
      <c r="D29" s="2" t="s">
        <v>25</v>
      </c>
      <c r="E29" s="2" t="s">
        <v>20</v>
      </c>
      <c r="F29" s="11">
        <v>2</v>
      </c>
      <c r="G29" s="15">
        <v>20</v>
      </c>
      <c r="H29" s="15">
        <v>10</v>
      </c>
      <c r="I29" s="12">
        <f t="shared" si="0"/>
        <v>2</v>
      </c>
      <c r="J29" s="4" t="str">
        <f>IFERROR(VLOOKUP(B29,Referência!$A$5:$I$16,9,FALSE),"")</f>
        <v>dias</v>
      </c>
      <c r="K29" s="6" t="s">
        <v>50</v>
      </c>
      <c r="L29" s="5" t="s">
        <v>43</v>
      </c>
      <c r="M29" s="8">
        <v>46276</v>
      </c>
      <c r="N29" s="5" t="s">
        <v>23</v>
      </c>
      <c r="O29" s="5" t="s">
        <v>24</v>
      </c>
      <c r="P29" s="4" t="str">
        <f t="shared" si="1"/>
        <v>COMPLETO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7">
        <v>46204</v>
      </c>
      <c r="B30" s="2" t="s">
        <v>41</v>
      </c>
      <c r="C30" s="3" t="str">
        <f>IFERROR(VLOOKUP(B30,Referência!$A$5:$I$16,2,FALSE),"")</f>
        <v>Tempo médio de internação do RN de risco</v>
      </c>
      <c r="D30" s="2" t="s">
        <v>19</v>
      </c>
      <c r="E30" s="2" t="s">
        <v>20</v>
      </c>
      <c r="F30" s="11">
        <v>3</v>
      </c>
      <c r="G30" s="15">
        <v>42</v>
      </c>
      <c r="H30" s="15">
        <v>14</v>
      </c>
      <c r="I30" s="12">
        <f t="shared" si="0"/>
        <v>3</v>
      </c>
      <c r="J30" s="4" t="str">
        <f>IFERROR(VLOOKUP(B30,Referência!$A$5:$I$16,9,FALSE),"")</f>
        <v>dias</v>
      </c>
      <c r="K30" s="6" t="s">
        <v>51</v>
      </c>
      <c r="L30" s="5" t="s">
        <v>43</v>
      </c>
      <c r="M30" s="8">
        <v>46276</v>
      </c>
      <c r="N30" s="5" t="s">
        <v>23</v>
      </c>
      <c r="O30" s="5" t="s">
        <v>24</v>
      </c>
      <c r="P30" s="4" t="str">
        <f t="shared" si="1"/>
        <v>COMPLETO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7">
        <v>46204</v>
      </c>
      <c r="B31" s="2" t="s">
        <v>41</v>
      </c>
      <c r="C31" s="3" t="str">
        <f>IFERROR(VLOOKUP(B31,Referência!$A$5:$I$16,2,FALSE),"")</f>
        <v>Tempo médio de internação do RN de risco</v>
      </c>
      <c r="D31" s="2" t="s">
        <v>25</v>
      </c>
      <c r="E31" s="2" t="s">
        <v>20</v>
      </c>
      <c r="F31" s="11">
        <v>3.6</v>
      </c>
      <c r="G31" s="15">
        <v>36</v>
      </c>
      <c r="H31" s="15">
        <v>10</v>
      </c>
      <c r="I31" s="12">
        <f t="shared" si="0"/>
        <v>3.6</v>
      </c>
      <c r="J31" s="4" t="str">
        <f>IFERROR(VLOOKUP(B31,Referência!$A$5:$I$16,9,FALSE),"")</f>
        <v>dias</v>
      </c>
      <c r="K31" s="6" t="s">
        <v>52</v>
      </c>
      <c r="L31" s="5" t="s">
        <v>43</v>
      </c>
      <c r="M31" s="8">
        <v>46276</v>
      </c>
      <c r="N31" s="5" t="s">
        <v>23</v>
      </c>
      <c r="O31" s="5" t="s">
        <v>24</v>
      </c>
      <c r="P31" s="4" t="str">
        <f t="shared" si="1"/>
        <v>COMPLETO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7">
        <v>46235</v>
      </c>
      <c r="B32" s="2" t="s">
        <v>41</v>
      </c>
      <c r="C32" s="3" t="str">
        <f>IFERROR(VLOOKUP(B32,Referência!$A$5:$I$16,2,FALSE),"")</f>
        <v>Tempo médio de internação do RN de risco</v>
      </c>
      <c r="D32" s="2" t="s">
        <v>19</v>
      </c>
      <c r="E32" s="2" t="s">
        <v>20</v>
      </c>
      <c r="F32" s="11">
        <v>5.3</v>
      </c>
      <c r="G32" s="15">
        <v>106</v>
      </c>
      <c r="H32" s="15">
        <v>20</v>
      </c>
      <c r="I32" s="12">
        <f t="shared" si="0"/>
        <v>5.3</v>
      </c>
      <c r="J32" s="4" t="str">
        <f>IFERROR(VLOOKUP(B32,Referência!$A$5:$I$16,9,FALSE),"")</f>
        <v>dias</v>
      </c>
      <c r="K32" s="6" t="s">
        <v>53</v>
      </c>
      <c r="L32" s="5" t="s">
        <v>43</v>
      </c>
      <c r="M32" s="8">
        <v>46276</v>
      </c>
      <c r="N32" s="5" t="s">
        <v>23</v>
      </c>
      <c r="O32" s="5" t="s">
        <v>24</v>
      </c>
      <c r="P32" s="4" t="str">
        <f t="shared" si="1"/>
        <v>COMPLETO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7">
        <v>46235</v>
      </c>
      <c r="B33" s="2" t="s">
        <v>41</v>
      </c>
      <c r="C33" s="3" t="str">
        <f>IFERROR(VLOOKUP(B33,Referência!$A$5:$I$16,2,FALSE),"")</f>
        <v>Tempo médio de internação do RN de risco</v>
      </c>
      <c r="D33" s="2" t="s">
        <v>25</v>
      </c>
      <c r="E33" s="2" t="s">
        <v>20</v>
      </c>
      <c r="F33" s="11">
        <v>7.3</v>
      </c>
      <c r="G33" s="15">
        <v>65.7</v>
      </c>
      <c r="H33" s="15">
        <v>9</v>
      </c>
      <c r="I33" s="12">
        <f t="shared" si="0"/>
        <v>7.3</v>
      </c>
      <c r="J33" s="4" t="str">
        <f>IFERROR(VLOOKUP(B33,Referência!$A$5:$I$16,9,FALSE),"")</f>
        <v>dias</v>
      </c>
      <c r="K33" s="6" t="s">
        <v>54</v>
      </c>
      <c r="L33" s="5" t="s">
        <v>43</v>
      </c>
      <c r="M33" s="8">
        <v>46276</v>
      </c>
      <c r="N33" s="5" t="s">
        <v>23</v>
      </c>
      <c r="O33" s="5" t="s">
        <v>24</v>
      </c>
      <c r="P33" s="4" t="str">
        <f t="shared" si="1"/>
        <v>COMPLETO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7">
        <v>46082</v>
      </c>
      <c r="B34" s="2" t="s">
        <v>55</v>
      </c>
      <c r="C34" s="3" t="str">
        <f>IFERROR(VLOOKUP(B34,Referência!$A$5:$I$16,2,FALSE),"")</f>
        <v>Critérios identificados nos RN classificados como de risco</v>
      </c>
      <c r="D34" s="2" t="s">
        <v>19</v>
      </c>
      <c r="E34" s="2" t="s">
        <v>56</v>
      </c>
      <c r="F34" s="13">
        <v>0</v>
      </c>
      <c r="G34" s="15"/>
      <c r="H34" s="15"/>
      <c r="I34" s="14">
        <f t="shared" si="0"/>
        <v>0</v>
      </c>
      <c r="J34" s="4" t="str">
        <f>IFERROR(VLOOKUP(B34,Referência!$A$5:$I$16,9,FALSE),"")</f>
        <v>quantidade</v>
      </c>
      <c r="K34" s="6" t="s">
        <v>57</v>
      </c>
      <c r="L34" s="5" t="s">
        <v>58</v>
      </c>
      <c r="M34" s="8">
        <v>46276</v>
      </c>
      <c r="N34" s="5" t="s">
        <v>23</v>
      </c>
      <c r="O34" s="5" t="s">
        <v>24</v>
      </c>
      <c r="P34" s="4" t="str">
        <f t="shared" si="1"/>
        <v>COMPLETO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7">
        <v>46082</v>
      </c>
      <c r="B35" s="2" t="s">
        <v>55</v>
      </c>
      <c r="C35" s="3" t="str">
        <f>IFERROR(VLOOKUP(B35,Referência!$A$5:$I$16,2,FALSE),"")</f>
        <v>Critérios identificados nos RN classificados como de risco</v>
      </c>
      <c r="D35" s="2" t="s">
        <v>19</v>
      </c>
      <c r="E35" s="2" t="s">
        <v>59</v>
      </c>
      <c r="F35" s="13">
        <v>8</v>
      </c>
      <c r="G35" s="15"/>
      <c r="H35" s="15"/>
      <c r="I35" s="14">
        <f t="shared" si="0"/>
        <v>8</v>
      </c>
      <c r="J35" s="4" t="str">
        <f>IFERROR(VLOOKUP(B35,Referência!$A$5:$I$16,9,FALSE),"")</f>
        <v>quantidade</v>
      </c>
      <c r="K35" s="6" t="s">
        <v>57</v>
      </c>
      <c r="L35" s="5" t="s">
        <v>58</v>
      </c>
      <c r="M35" s="8">
        <v>46276</v>
      </c>
      <c r="N35" s="5" t="s">
        <v>23</v>
      </c>
      <c r="O35" s="5" t="s">
        <v>24</v>
      </c>
      <c r="P35" s="4" t="str">
        <f t="shared" si="1"/>
        <v>COMPLETO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7">
        <v>46082</v>
      </c>
      <c r="B36" s="2" t="s">
        <v>55</v>
      </c>
      <c r="C36" s="3" t="str">
        <f>IFERROR(VLOOKUP(B36,Referência!$A$5:$I$16,2,FALSE),"")</f>
        <v>Critérios identificados nos RN classificados como de risco</v>
      </c>
      <c r="D36" s="2" t="s">
        <v>19</v>
      </c>
      <c r="E36" s="2" t="s">
        <v>60</v>
      </c>
      <c r="F36" s="13">
        <v>1</v>
      </c>
      <c r="G36" s="15"/>
      <c r="H36" s="15"/>
      <c r="I36" s="14">
        <f t="shared" si="0"/>
        <v>1</v>
      </c>
      <c r="J36" s="4" t="str">
        <f>IFERROR(VLOOKUP(B36,Referência!$A$5:$I$16,9,FALSE),"")</f>
        <v>quantidade</v>
      </c>
      <c r="K36" s="6" t="s">
        <v>57</v>
      </c>
      <c r="L36" s="5" t="s">
        <v>58</v>
      </c>
      <c r="M36" s="8">
        <v>46276</v>
      </c>
      <c r="N36" s="5" t="s">
        <v>23</v>
      </c>
      <c r="O36" s="5" t="s">
        <v>24</v>
      </c>
      <c r="P36" s="4" t="str">
        <f t="shared" si="1"/>
        <v>COMPLETO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7">
        <v>46082</v>
      </c>
      <c r="B37" s="2" t="s">
        <v>55</v>
      </c>
      <c r="C37" s="3" t="str">
        <f>IFERROR(VLOOKUP(B37,Referência!$A$5:$I$16,2,FALSE),"")</f>
        <v>Critérios identificados nos RN classificados como de risco</v>
      </c>
      <c r="D37" s="2" t="s">
        <v>19</v>
      </c>
      <c r="E37" s="2" t="s">
        <v>61</v>
      </c>
      <c r="F37" s="13">
        <v>3</v>
      </c>
      <c r="G37" s="15"/>
      <c r="H37" s="15"/>
      <c r="I37" s="14">
        <f t="shared" si="0"/>
        <v>3</v>
      </c>
      <c r="J37" s="4" t="str">
        <f>IFERROR(VLOOKUP(B37,Referência!$A$5:$I$16,9,FALSE),"")</f>
        <v>quantidade</v>
      </c>
      <c r="K37" s="6" t="s">
        <v>57</v>
      </c>
      <c r="L37" s="5" t="s">
        <v>58</v>
      </c>
      <c r="M37" s="8">
        <v>46276</v>
      </c>
      <c r="N37" s="5" t="s">
        <v>23</v>
      </c>
      <c r="O37" s="5" t="s">
        <v>24</v>
      </c>
      <c r="P37" s="4" t="str">
        <f t="shared" si="1"/>
        <v>COMPLETO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7">
        <v>46082</v>
      </c>
      <c r="B38" s="2" t="s">
        <v>55</v>
      </c>
      <c r="C38" s="3" t="str">
        <f>IFERROR(VLOOKUP(B38,Referência!$A$5:$I$16,2,FALSE),"")</f>
        <v>Critérios identificados nos RN classificados como de risco</v>
      </c>
      <c r="D38" s="2" t="s">
        <v>19</v>
      </c>
      <c r="E38" s="2" t="s">
        <v>62</v>
      </c>
      <c r="F38" s="13">
        <v>5</v>
      </c>
      <c r="G38" s="15"/>
      <c r="H38" s="15"/>
      <c r="I38" s="14">
        <f t="shared" si="0"/>
        <v>5</v>
      </c>
      <c r="J38" s="4" t="str">
        <f>IFERROR(VLOOKUP(B38,Referência!$A$5:$I$16,9,FALSE),"")</f>
        <v>quantidade</v>
      </c>
      <c r="K38" s="6" t="s">
        <v>57</v>
      </c>
      <c r="L38" s="5" t="s">
        <v>58</v>
      </c>
      <c r="M38" s="8">
        <v>46276</v>
      </c>
      <c r="N38" s="5" t="s">
        <v>23</v>
      </c>
      <c r="O38" s="5" t="s">
        <v>24</v>
      </c>
      <c r="P38" s="4" t="str">
        <f t="shared" si="1"/>
        <v>COMPLETO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7">
        <v>46082</v>
      </c>
      <c r="B39" s="2" t="s">
        <v>55</v>
      </c>
      <c r="C39" s="3" t="str">
        <f>IFERROR(VLOOKUP(B39,Referência!$A$5:$I$16,2,FALSE),"")</f>
        <v>Critérios identificados nos RN classificados como de risco</v>
      </c>
      <c r="D39" s="2" t="s">
        <v>19</v>
      </c>
      <c r="E39" s="2" t="s">
        <v>63</v>
      </c>
      <c r="F39" s="13">
        <v>3</v>
      </c>
      <c r="G39" s="15"/>
      <c r="H39" s="15"/>
      <c r="I39" s="14">
        <f t="shared" si="0"/>
        <v>3</v>
      </c>
      <c r="J39" s="4" t="str">
        <f>IFERROR(VLOOKUP(B39,Referência!$A$5:$I$16,9,FALSE),"")</f>
        <v>quantidade</v>
      </c>
      <c r="K39" s="6" t="s">
        <v>57</v>
      </c>
      <c r="L39" s="5" t="s">
        <v>58</v>
      </c>
      <c r="M39" s="8">
        <v>46276</v>
      </c>
      <c r="N39" s="5" t="s">
        <v>23</v>
      </c>
      <c r="O39" s="5" t="s">
        <v>24</v>
      </c>
      <c r="P39" s="4" t="str">
        <f t="shared" si="1"/>
        <v>COMPLETO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7">
        <v>46082</v>
      </c>
      <c r="B40" s="2" t="s">
        <v>55</v>
      </c>
      <c r="C40" s="3" t="str">
        <f>IFERROR(VLOOKUP(B40,Referência!$A$5:$I$16,2,FALSE),"")</f>
        <v>Critérios identificados nos RN classificados como de risco</v>
      </c>
      <c r="D40" s="2" t="s">
        <v>19</v>
      </c>
      <c r="E40" s="2" t="s">
        <v>64</v>
      </c>
      <c r="F40" s="13">
        <v>2</v>
      </c>
      <c r="G40" s="15"/>
      <c r="H40" s="15"/>
      <c r="I40" s="14">
        <f t="shared" si="0"/>
        <v>2</v>
      </c>
      <c r="J40" s="4" t="str">
        <f>IFERROR(VLOOKUP(B40,Referência!$A$5:$I$16,9,FALSE),"")</f>
        <v>quantidade</v>
      </c>
      <c r="K40" s="6" t="s">
        <v>57</v>
      </c>
      <c r="L40" s="5" t="s">
        <v>58</v>
      </c>
      <c r="M40" s="8">
        <v>46276</v>
      </c>
      <c r="N40" s="5" t="s">
        <v>23</v>
      </c>
      <c r="O40" s="5" t="s">
        <v>24</v>
      </c>
      <c r="P40" s="4" t="str">
        <f t="shared" si="1"/>
        <v>COMPLETO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7">
        <v>46082</v>
      </c>
      <c r="B41" s="2" t="s">
        <v>55</v>
      </c>
      <c r="C41" s="3" t="str">
        <f>IFERROR(VLOOKUP(B41,Referência!$A$5:$I$16,2,FALSE),"")</f>
        <v>Critérios identificados nos RN classificados como de risco</v>
      </c>
      <c r="D41" s="2" t="s">
        <v>19</v>
      </c>
      <c r="E41" s="2" t="s">
        <v>65</v>
      </c>
      <c r="F41" s="13">
        <v>0</v>
      </c>
      <c r="G41" s="15"/>
      <c r="H41" s="15"/>
      <c r="I41" s="14">
        <f t="shared" si="0"/>
        <v>0</v>
      </c>
      <c r="J41" s="4" t="str">
        <f>IFERROR(VLOOKUP(B41,Referência!$A$5:$I$16,9,FALSE),"")</f>
        <v>quantidade</v>
      </c>
      <c r="K41" s="6" t="s">
        <v>57</v>
      </c>
      <c r="L41" s="5" t="s">
        <v>58</v>
      </c>
      <c r="M41" s="8">
        <v>46276</v>
      </c>
      <c r="N41" s="5" t="s">
        <v>23</v>
      </c>
      <c r="O41" s="5" t="s">
        <v>24</v>
      </c>
      <c r="P41" s="4" t="str">
        <f t="shared" si="1"/>
        <v>COMPLETO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7">
        <v>46082</v>
      </c>
      <c r="B42" s="2" t="s">
        <v>55</v>
      </c>
      <c r="C42" s="3" t="str">
        <f>IFERROR(VLOOKUP(B42,Referência!$A$5:$I$16,2,FALSE),"")</f>
        <v>Critérios identificados nos RN classificados como de risco</v>
      </c>
      <c r="D42" s="2" t="s">
        <v>25</v>
      </c>
      <c r="E42" s="2" t="s">
        <v>56</v>
      </c>
      <c r="F42" s="13">
        <v>3</v>
      </c>
      <c r="G42" s="15"/>
      <c r="H42" s="15"/>
      <c r="I42" s="14">
        <f t="shared" si="0"/>
        <v>3</v>
      </c>
      <c r="J42" s="4" t="str">
        <f>IFERROR(VLOOKUP(B42,Referência!$A$5:$I$16,9,FALSE),"")</f>
        <v>quantidade</v>
      </c>
      <c r="K42" s="6" t="s">
        <v>57</v>
      </c>
      <c r="L42" s="5" t="s">
        <v>58</v>
      </c>
      <c r="M42" s="8">
        <v>46276</v>
      </c>
      <c r="N42" s="5" t="s">
        <v>23</v>
      </c>
      <c r="O42" s="5" t="s">
        <v>24</v>
      </c>
      <c r="P42" s="4" t="str">
        <f t="shared" si="1"/>
        <v>COMPLETO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7">
        <v>46082</v>
      </c>
      <c r="B43" s="2" t="s">
        <v>55</v>
      </c>
      <c r="C43" s="3" t="str">
        <f>IFERROR(VLOOKUP(B43,Referência!$A$5:$I$16,2,FALSE),"")</f>
        <v>Critérios identificados nos RN classificados como de risco</v>
      </c>
      <c r="D43" s="2" t="s">
        <v>25</v>
      </c>
      <c r="E43" s="2" t="s">
        <v>59</v>
      </c>
      <c r="F43" s="13">
        <v>10</v>
      </c>
      <c r="G43" s="15"/>
      <c r="H43" s="15"/>
      <c r="I43" s="14">
        <f t="shared" si="0"/>
        <v>10</v>
      </c>
      <c r="J43" s="4" t="str">
        <f>IFERROR(VLOOKUP(B43,Referência!$A$5:$I$16,9,FALSE),"")</f>
        <v>quantidade</v>
      </c>
      <c r="K43" s="6" t="s">
        <v>57</v>
      </c>
      <c r="L43" s="5" t="s">
        <v>58</v>
      </c>
      <c r="M43" s="8">
        <v>46276</v>
      </c>
      <c r="N43" s="5" t="s">
        <v>23</v>
      </c>
      <c r="O43" s="5" t="s">
        <v>24</v>
      </c>
      <c r="P43" s="4" t="str">
        <f t="shared" si="1"/>
        <v>COMPLETO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7">
        <v>46082</v>
      </c>
      <c r="B44" s="2" t="s">
        <v>55</v>
      </c>
      <c r="C44" s="3" t="str">
        <f>IFERROR(VLOOKUP(B44,Referência!$A$5:$I$16,2,FALSE),"")</f>
        <v>Critérios identificados nos RN classificados como de risco</v>
      </c>
      <c r="D44" s="2" t="s">
        <v>25</v>
      </c>
      <c r="E44" s="2" t="s">
        <v>60</v>
      </c>
      <c r="F44" s="13">
        <v>1</v>
      </c>
      <c r="G44" s="15"/>
      <c r="H44" s="15"/>
      <c r="I44" s="14">
        <f t="shared" si="0"/>
        <v>1</v>
      </c>
      <c r="J44" s="4" t="str">
        <f>IFERROR(VLOOKUP(B44,Referência!$A$5:$I$16,9,FALSE),"")</f>
        <v>quantidade</v>
      </c>
      <c r="K44" s="6" t="s">
        <v>57</v>
      </c>
      <c r="L44" s="5" t="s">
        <v>58</v>
      </c>
      <c r="M44" s="8">
        <v>46276</v>
      </c>
      <c r="N44" s="5" t="s">
        <v>23</v>
      </c>
      <c r="O44" s="5" t="s">
        <v>24</v>
      </c>
      <c r="P44" s="4" t="str">
        <f t="shared" si="1"/>
        <v>COMPLETO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7">
        <v>46082</v>
      </c>
      <c r="B45" s="2" t="s">
        <v>55</v>
      </c>
      <c r="C45" s="3" t="str">
        <f>IFERROR(VLOOKUP(B45,Referência!$A$5:$I$16,2,FALSE),"")</f>
        <v>Critérios identificados nos RN classificados como de risco</v>
      </c>
      <c r="D45" s="2" t="s">
        <v>25</v>
      </c>
      <c r="E45" s="2" t="s">
        <v>61</v>
      </c>
      <c r="F45" s="13">
        <v>0</v>
      </c>
      <c r="G45" s="15"/>
      <c r="H45" s="15"/>
      <c r="I45" s="14">
        <f t="shared" si="0"/>
        <v>0</v>
      </c>
      <c r="J45" s="4" t="str">
        <f>IFERROR(VLOOKUP(B45,Referência!$A$5:$I$16,9,FALSE),"")</f>
        <v>quantidade</v>
      </c>
      <c r="K45" s="6" t="s">
        <v>57</v>
      </c>
      <c r="L45" s="5" t="s">
        <v>58</v>
      </c>
      <c r="M45" s="8">
        <v>46276</v>
      </c>
      <c r="N45" s="5" t="s">
        <v>23</v>
      </c>
      <c r="O45" s="5" t="s">
        <v>24</v>
      </c>
      <c r="P45" s="4" t="str">
        <f t="shared" si="1"/>
        <v>COMPLETO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7">
        <v>46082</v>
      </c>
      <c r="B46" s="2" t="s">
        <v>55</v>
      </c>
      <c r="C46" s="3" t="str">
        <f>IFERROR(VLOOKUP(B46,Referência!$A$5:$I$16,2,FALSE),"")</f>
        <v>Critérios identificados nos RN classificados como de risco</v>
      </c>
      <c r="D46" s="2" t="s">
        <v>25</v>
      </c>
      <c r="E46" s="2" t="s">
        <v>62</v>
      </c>
      <c r="F46" s="13">
        <v>2</v>
      </c>
      <c r="G46" s="15"/>
      <c r="H46" s="15"/>
      <c r="I46" s="14">
        <f t="shared" si="0"/>
        <v>2</v>
      </c>
      <c r="J46" s="4" t="str">
        <f>IFERROR(VLOOKUP(B46,Referência!$A$5:$I$16,9,FALSE),"")</f>
        <v>quantidade</v>
      </c>
      <c r="K46" s="6" t="s">
        <v>57</v>
      </c>
      <c r="L46" s="5" t="s">
        <v>58</v>
      </c>
      <c r="M46" s="8">
        <v>46276</v>
      </c>
      <c r="N46" s="5" t="s">
        <v>23</v>
      </c>
      <c r="O46" s="5" t="s">
        <v>24</v>
      </c>
      <c r="P46" s="4" t="str">
        <f t="shared" si="1"/>
        <v>COMPLETO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7">
        <v>46082</v>
      </c>
      <c r="B47" s="2" t="s">
        <v>55</v>
      </c>
      <c r="C47" s="3" t="str">
        <f>IFERROR(VLOOKUP(B47,Referência!$A$5:$I$16,2,FALSE),"")</f>
        <v>Critérios identificados nos RN classificados como de risco</v>
      </c>
      <c r="D47" s="2" t="s">
        <v>25</v>
      </c>
      <c r="E47" s="2" t="s">
        <v>63</v>
      </c>
      <c r="F47" s="13">
        <v>1</v>
      </c>
      <c r="G47" s="15"/>
      <c r="H47" s="15"/>
      <c r="I47" s="14">
        <f t="shared" si="0"/>
        <v>1</v>
      </c>
      <c r="J47" s="4" t="str">
        <f>IFERROR(VLOOKUP(B47,Referência!$A$5:$I$16,9,FALSE),"")</f>
        <v>quantidade</v>
      </c>
      <c r="K47" s="6" t="s">
        <v>57</v>
      </c>
      <c r="L47" s="5" t="s">
        <v>58</v>
      </c>
      <c r="M47" s="8">
        <v>46276</v>
      </c>
      <c r="N47" s="5" t="s">
        <v>23</v>
      </c>
      <c r="O47" s="5" t="s">
        <v>24</v>
      </c>
      <c r="P47" s="4" t="str">
        <f t="shared" si="1"/>
        <v>COMPLETO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7">
        <v>46082</v>
      </c>
      <c r="B48" s="2" t="s">
        <v>55</v>
      </c>
      <c r="C48" s="3" t="str">
        <f>IFERROR(VLOOKUP(B48,Referência!$A$5:$I$16,2,FALSE),"")</f>
        <v>Critérios identificados nos RN classificados como de risco</v>
      </c>
      <c r="D48" s="2" t="s">
        <v>25</v>
      </c>
      <c r="E48" s="2" t="s">
        <v>64</v>
      </c>
      <c r="F48" s="13">
        <v>0</v>
      </c>
      <c r="G48" s="15"/>
      <c r="H48" s="15"/>
      <c r="I48" s="14">
        <f t="shared" si="0"/>
        <v>0</v>
      </c>
      <c r="J48" s="4" t="str">
        <f>IFERROR(VLOOKUP(B48,Referência!$A$5:$I$16,9,FALSE),"")</f>
        <v>quantidade</v>
      </c>
      <c r="K48" s="6" t="s">
        <v>57</v>
      </c>
      <c r="L48" s="5" t="s">
        <v>58</v>
      </c>
      <c r="M48" s="8">
        <v>46276</v>
      </c>
      <c r="N48" s="5" t="s">
        <v>23</v>
      </c>
      <c r="O48" s="5" t="s">
        <v>24</v>
      </c>
      <c r="P48" s="4" t="str">
        <f t="shared" si="1"/>
        <v>COMPLETO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7">
        <v>46082</v>
      </c>
      <c r="B49" s="2" t="s">
        <v>55</v>
      </c>
      <c r="C49" s="3" t="str">
        <f>IFERROR(VLOOKUP(B49,Referência!$A$5:$I$16,2,FALSE),"")</f>
        <v>Critérios identificados nos RN classificados como de risco</v>
      </c>
      <c r="D49" s="2" t="s">
        <v>25</v>
      </c>
      <c r="E49" s="2" t="s">
        <v>65</v>
      </c>
      <c r="F49" s="13">
        <v>0</v>
      </c>
      <c r="G49" s="15"/>
      <c r="H49" s="15"/>
      <c r="I49" s="14">
        <f t="shared" si="0"/>
        <v>0</v>
      </c>
      <c r="J49" s="4" t="str">
        <f>IFERROR(VLOOKUP(B49,Referência!$A$5:$I$16,9,FALSE),"")</f>
        <v>quantidade</v>
      </c>
      <c r="K49" s="6" t="s">
        <v>57</v>
      </c>
      <c r="L49" s="5" t="s">
        <v>58</v>
      </c>
      <c r="M49" s="8">
        <v>46276</v>
      </c>
      <c r="N49" s="5" t="s">
        <v>23</v>
      </c>
      <c r="O49" s="5" t="s">
        <v>24</v>
      </c>
      <c r="P49" s="4" t="str">
        <f t="shared" si="1"/>
        <v>COMPLETO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7">
        <v>46113</v>
      </c>
      <c r="B50" s="2" t="s">
        <v>55</v>
      </c>
      <c r="C50" s="3" t="str">
        <f>IFERROR(VLOOKUP(B50,Referência!$A$5:$I$16,2,FALSE),"")</f>
        <v>Critérios identificados nos RN classificados como de risco</v>
      </c>
      <c r="D50" s="2" t="s">
        <v>19</v>
      </c>
      <c r="E50" s="2" t="s">
        <v>56</v>
      </c>
      <c r="F50" s="13">
        <v>1</v>
      </c>
      <c r="G50" s="15"/>
      <c r="H50" s="15"/>
      <c r="I50" s="14">
        <f t="shared" si="0"/>
        <v>1</v>
      </c>
      <c r="J50" s="4" t="str">
        <f>IFERROR(VLOOKUP(B50,Referência!$A$5:$I$16,9,FALSE),"")</f>
        <v>quantidade</v>
      </c>
      <c r="K50" s="6" t="s">
        <v>57</v>
      </c>
      <c r="L50" s="5" t="s">
        <v>58</v>
      </c>
      <c r="M50" s="8">
        <v>46276</v>
      </c>
      <c r="N50" s="5" t="s">
        <v>23</v>
      </c>
      <c r="O50" s="5" t="s">
        <v>24</v>
      </c>
      <c r="P50" s="4" t="str">
        <f t="shared" si="1"/>
        <v>COMPLETO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7">
        <v>46113</v>
      </c>
      <c r="B51" s="2" t="s">
        <v>55</v>
      </c>
      <c r="C51" s="3" t="str">
        <f>IFERROR(VLOOKUP(B51,Referência!$A$5:$I$16,2,FALSE),"")</f>
        <v>Critérios identificados nos RN classificados como de risco</v>
      </c>
      <c r="D51" s="2" t="s">
        <v>19</v>
      </c>
      <c r="E51" s="2" t="s">
        <v>59</v>
      </c>
      <c r="F51" s="13">
        <v>4</v>
      </c>
      <c r="G51" s="15"/>
      <c r="H51" s="15"/>
      <c r="I51" s="14">
        <f t="shared" si="0"/>
        <v>4</v>
      </c>
      <c r="J51" s="4" t="str">
        <f>IFERROR(VLOOKUP(B51,Referência!$A$5:$I$16,9,FALSE),"")</f>
        <v>quantidade</v>
      </c>
      <c r="K51" s="6" t="s">
        <v>57</v>
      </c>
      <c r="L51" s="5" t="s">
        <v>58</v>
      </c>
      <c r="M51" s="8">
        <v>46276</v>
      </c>
      <c r="N51" s="5" t="s">
        <v>23</v>
      </c>
      <c r="O51" s="5" t="s">
        <v>24</v>
      </c>
      <c r="P51" s="4" t="str">
        <f t="shared" si="1"/>
        <v>COMPLETO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7">
        <v>46113</v>
      </c>
      <c r="B52" s="2" t="s">
        <v>55</v>
      </c>
      <c r="C52" s="3" t="str">
        <f>IFERROR(VLOOKUP(B52,Referência!$A$5:$I$16,2,FALSE),"")</f>
        <v>Critérios identificados nos RN classificados como de risco</v>
      </c>
      <c r="D52" s="2" t="s">
        <v>19</v>
      </c>
      <c r="E52" s="2" t="s">
        <v>60</v>
      </c>
      <c r="F52" s="13">
        <v>0</v>
      </c>
      <c r="G52" s="15"/>
      <c r="H52" s="15"/>
      <c r="I52" s="14">
        <f t="shared" si="0"/>
        <v>0</v>
      </c>
      <c r="J52" s="4" t="str">
        <f>IFERROR(VLOOKUP(B52,Referência!$A$5:$I$16,9,FALSE),"")</f>
        <v>quantidade</v>
      </c>
      <c r="K52" s="6" t="s">
        <v>57</v>
      </c>
      <c r="L52" s="5" t="s">
        <v>58</v>
      </c>
      <c r="M52" s="8">
        <v>46276</v>
      </c>
      <c r="N52" s="5" t="s">
        <v>23</v>
      </c>
      <c r="O52" s="5" t="s">
        <v>24</v>
      </c>
      <c r="P52" s="4" t="str">
        <f t="shared" si="1"/>
        <v>COMPLETO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7">
        <v>46113</v>
      </c>
      <c r="B53" s="2" t="s">
        <v>55</v>
      </c>
      <c r="C53" s="3" t="str">
        <f>IFERROR(VLOOKUP(B53,Referência!$A$5:$I$16,2,FALSE),"")</f>
        <v>Critérios identificados nos RN classificados como de risco</v>
      </c>
      <c r="D53" s="2" t="s">
        <v>19</v>
      </c>
      <c r="E53" s="2" t="s">
        <v>61</v>
      </c>
      <c r="F53" s="13">
        <v>3</v>
      </c>
      <c r="G53" s="15"/>
      <c r="H53" s="15"/>
      <c r="I53" s="14">
        <f t="shared" si="0"/>
        <v>3</v>
      </c>
      <c r="J53" s="4" t="str">
        <f>IFERROR(VLOOKUP(B53,Referência!$A$5:$I$16,9,FALSE),"")</f>
        <v>quantidade</v>
      </c>
      <c r="K53" s="6" t="s">
        <v>57</v>
      </c>
      <c r="L53" s="5" t="s">
        <v>58</v>
      </c>
      <c r="M53" s="8">
        <v>46276</v>
      </c>
      <c r="N53" s="5" t="s">
        <v>23</v>
      </c>
      <c r="O53" s="5" t="s">
        <v>24</v>
      </c>
      <c r="P53" s="4" t="str">
        <f t="shared" si="1"/>
        <v>COMPLETO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7">
        <v>46113</v>
      </c>
      <c r="B54" s="2" t="s">
        <v>55</v>
      </c>
      <c r="C54" s="3" t="str">
        <f>IFERROR(VLOOKUP(B54,Referência!$A$5:$I$16,2,FALSE),"")</f>
        <v>Critérios identificados nos RN classificados como de risco</v>
      </c>
      <c r="D54" s="2" t="s">
        <v>19</v>
      </c>
      <c r="E54" s="2" t="s">
        <v>62</v>
      </c>
      <c r="F54" s="13">
        <v>6</v>
      </c>
      <c r="G54" s="15"/>
      <c r="H54" s="15"/>
      <c r="I54" s="14">
        <f t="shared" si="0"/>
        <v>6</v>
      </c>
      <c r="J54" s="4" t="str">
        <f>IFERROR(VLOOKUP(B54,Referência!$A$5:$I$16,9,FALSE),"")</f>
        <v>quantidade</v>
      </c>
      <c r="K54" s="6" t="s">
        <v>57</v>
      </c>
      <c r="L54" s="5" t="s">
        <v>58</v>
      </c>
      <c r="M54" s="8">
        <v>46276</v>
      </c>
      <c r="N54" s="5" t="s">
        <v>23</v>
      </c>
      <c r="O54" s="5" t="s">
        <v>24</v>
      </c>
      <c r="P54" s="4" t="str">
        <f t="shared" si="1"/>
        <v>COMPLETO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7">
        <v>46113</v>
      </c>
      <c r="B55" s="2" t="s">
        <v>55</v>
      </c>
      <c r="C55" s="3" t="str">
        <f>IFERROR(VLOOKUP(B55,Referência!$A$5:$I$16,2,FALSE),"")</f>
        <v>Critérios identificados nos RN classificados como de risco</v>
      </c>
      <c r="D55" s="2" t="s">
        <v>19</v>
      </c>
      <c r="E55" s="2" t="s">
        <v>63</v>
      </c>
      <c r="F55" s="13">
        <v>4</v>
      </c>
      <c r="G55" s="15"/>
      <c r="H55" s="15"/>
      <c r="I55" s="14">
        <f t="shared" si="0"/>
        <v>4</v>
      </c>
      <c r="J55" s="4" t="str">
        <f>IFERROR(VLOOKUP(B55,Referência!$A$5:$I$16,9,FALSE),"")</f>
        <v>quantidade</v>
      </c>
      <c r="K55" s="6" t="s">
        <v>57</v>
      </c>
      <c r="L55" s="5" t="s">
        <v>58</v>
      </c>
      <c r="M55" s="8">
        <v>46276</v>
      </c>
      <c r="N55" s="5" t="s">
        <v>23</v>
      </c>
      <c r="O55" s="5" t="s">
        <v>24</v>
      </c>
      <c r="P55" s="4" t="str">
        <f t="shared" si="1"/>
        <v>COMPLETO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7">
        <v>46113</v>
      </c>
      <c r="B56" s="2" t="s">
        <v>55</v>
      </c>
      <c r="C56" s="3" t="str">
        <f>IFERROR(VLOOKUP(B56,Referência!$A$5:$I$16,2,FALSE),"")</f>
        <v>Critérios identificados nos RN classificados como de risco</v>
      </c>
      <c r="D56" s="2" t="s">
        <v>19</v>
      </c>
      <c r="E56" s="2" t="s">
        <v>64</v>
      </c>
      <c r="F56" s="13">
        <v>0</v>
      </c>
      <c r="G56" s="15"/>
      <c r="H56" s="15"/>
      <c r="I56" s="14">
        <f t="shared" si="0"/>
        <v>0</v>
      </c>
      <c r="J56" s="4" t="str">
        <f>IFERROR(VLOOKUP(B56,Referência!$A$5:$I$16,9,FALSE),"")</f>
        <v>quantidade</v>
      </c>
      <c r="K56" s="6" t="s">
        <v>57</v>
      </c>
      <c r="L56" s="5" t="s">
        <v>58</v>
      </c>
      <c r="M56" s="8">
        <v>46276</v>
      </c>
      <c r="N56" s="5" t="s">
        <v>23</v>
      </c>
      <c r="O56" s="5" t="s">
        <v>24</v>
      </c>
      <c r="P56" s="4" t="str">
        <f t="shared" si="1"/>
        <v>COMPLETO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7">
        <v>46113</v>
      </c>
      <c r="B57" s="2" t="s">
        <v>55</v>
      </c>
      <c r="C57" s="3" t="str">
        <f>IFERROR(VLOOKUP(B57,Referência!$A$5:$I$16,2,FALSE),"")</f>
        <v>Critérios identificados nos RN classificados como de risco</v>
      </c>
      <c r="D57" s="2" t="s">
        <v>19</v>
      </c>
      <c r="E57" s="2" t="s">
        <v>65</v>
      </c>
      <c r="F57" s="13">
        <v>0</v>
      </c>
      <c r="G57" s="15"/>
      <c r="H57" s="15"/>
      <c r="I57" s="14">
        <f t="shared" si="0"/>
        <v>0</v>
      </c>
      <c r="J57" s="4" t="str">
        <f>IFERROR(VLOOKUP(B57,Referência!$A$5:$I$16,9,FALSE),"")</f>
        <v>quantidade</v>
      </c>
      <c r="K57" s="6" t="s">
        <v>57</v>
      </c>
      <c r="L57" s="5" t="s">
        <v>58</v>
      </c>
      <c r="M57" s="8">
        <v>46276</v>
      </c>
      <c r="N57" s="5" t="s">
        <v>23</v>
      </c>
      <c r="O57" s="5" t="s">
        <v>24</v>
      </c>
      <c r="P57" s="4" t="str">
        <f t="shared" si="1"/>
        <v>COMPLETO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7">
        <v>46113</v>
      </c>
      <c r="B58" s="2" t="s">
        <v>55</v>
      </c>
      <c r="C58" s="3" t="str">
        <f>IFERROR(VLOOKUP(B58,Referência!$A$5:$I$16,2,FALSE),"")</f>
        <v>Critérios identificados nos RN classificados como de risco</v>
      </c>
      <c r="D58" s="2" t="s">
        <v>25</v>
      </c>
      <c r="E58" s="2" t="s">
        <v>56</v>
      </c>
      <c r="F58" s="13">
        <v>2</v>
      </c>
      <c r="G58" s="15"/>
      <c r="H58" s="15"/>
      <c r="I58" s="14">
        <f t="shared" si="0"/>
        <v>2</v>
      </c>
      <c r="J58" s="4" t="str">
        <f>IFERROR(VLOOKUP(B58,Referência!$A$5:$I$16,9,FALSE),"")</f>
        <v>quantidade</v>
      </c>
      <c r="K58" s="6" t="s">
        <v>57</v>
      </c>
      <c r="L58" s="5" t="s">
        <v>58</v>
      </c>
      <c r="M58" s="8">
        <v>46276</v>
      </c>
      <c r="N58" s="5" t="s">
        <v>23</v>
      </c>
      <c r="O58" s="5" t="s">
        <v>24</v>
      </c>
      <c r="P58" s="4" t="str">
        <f t="shared" si="1"/>
        <v>COMPLETO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7">
        <v>46113</v>
      </c>
      <c r="B59" s="2" t="s">
        <v>55</v>
      </c>
      <c r="C59" s="3" t="str">
        <f>IFERROR(VLOOKUP(B59,Referência!$A$5:$I$16,2,FALSE),"")</f>
        <v>Critérios identificados nos RN classificados como de risco</v>
      </c>
      <c r="D59" s="2" t="s">
        <v>25</v>
      </c>
      <c r="E59" s="2" t="s">
        <v>59</v>
      </c>
      <c r="F59" s="13">
        <v>7</v>
      </c>
      <c r="G59" s="15"/>
      <c r="H59" s="15"/>
      <c r="I59" s="14">
        <f t="shared" si="0"/>
        <v>7</v>
      </c>
      <c r="J59" s="4" t="str">
        <f>IFERROR(VLOOKUP(B59,Referência!$A$5:$I$16,9,FALSE),"")</f>
        <v>quantidade</v>
      </c>
      <c r="K59" s="6" t="s">
        <v>57</v>
      </c>
      <c r="L59" s="5" t="s">
        <v>58</v>
      </c>
      <c r="M59" s="8">
        <v>46276</v>
      </c>
      <c r="N59" s="5" t="s">
        <v>23</v>
      </c>
      <c r="O59" s="5" t="s">
        <v>24</v>
      </c>
      <c r="P59" s="4" t="str">
        <f t="shared" si="1"/>
        <v>COMPLETO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7">
        <v>46113</v>
      </c>
      <c r="B60" s="2" t="s">
        <v>55</v>
      </c>
      <c r="C60" s="3" t="str">
        <f>IFERROR(VLOOKUP(B60,Referência!$A$5:$I$16,2,FALSE),"")</f>
        <v>Critérios identificados nos RN classificados como de risco</v>
      </c>
      <c r="D60" s="2" t="s">
        <v>25</v>
      </c>
      <c r="E60" s="2" t="s">
        <v>60</v>
      </c>
      <c r="F60" s="13">
        <v>1</v>
      </c>
      <c r="G60" s="15"/>
      <c r="H60" s="15"/>
      <c r="I60" s="14">
        <f t="shared" si="0"/>
        <v>1</v>
      </c>
      <c r="J60" s="4" t="str">
        <f>IFERROR(VLOOKUP(B60,Referência!$A$5:$I$16,9,FALSE),"")</f>
        <v>quantidade</v>
      </c>
      <c r="K60" s="6" t="s">
        <v>57</v>
      </c>
      <c r="L60" s="5" t="s">
        <v>58</v>
      </c>
      <c r="M60" s="8">
        <v>46276</v>
      </c>
      <c r="N60" s="5" t="s">
        <v>23</v>
      </c>
      <c r="O60" s="5" t="s">
        <v>24</v>
      </c>
      <c r="P60" s="4" t="str">
        <f t="shared" si="1"/>
        <v>COMPLETO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7">
        <v>46113</v>
      </c>
      <c r="B61" s="2" t="s">
        <v>55</v>
      </c>
      <c r="C61" s="3" t="str">
        <f>IFERROR(VLOOKUP(B61,Referência!$A$5:$I$16,2,FALSE),"")</f>
        <v>Critérios identificados nos RN classificados como de risco</v>
      </c>
      <c r="D61" s="2" t="s">
        <v>25</v>
      </c>
      <c r="E61" s="2" t="s">
        <v>61</v>
      </c>
      <c r="F61" s="13">
        <v>0</v>
      </c>
      <c r="G61" s="15"/>
      <c r="H61" s="15"/>
      <c r="I61" s="14">
        <f t="shared" si="0"/>
        <v>0</v>
      </c>
      <c r="J61" s="4" t="str">
        <f>IFERROR(VLOOKUP(B61,Referência!$A$5:$I$16,9,FALSE),"")</f>
        <v>quantidade</v>
      </c>
      <c r="K61" s="6" t="s">
        <v>57</v>
      </c>
      <c r="L61" s="5" t="s">
        <v>58</v>
      </c>
      <c r="M61" s="8">
        <v>46276</v>
      </c>
      <c r="N61" s="5" t="s">
        <v>23</v>
      </c>
      <c r="O61" s="5" t="s">
        <v>24</v>
      </c>
      <c r="P61" s="4" t="str">
        <f t="shared" si="1"/>
        <v>COMPLETO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7">
        <v>46113</v>
      </c>
      <c r="B62" s="2" t="s">
        <v>55</v>
      </c>
      <c r="C62" s="3" t="str">
        <f>IFERROR(VLOOKUP(B62,Referência!$A$5:$I$16,2,FALSE),"")</f>
        <v>Critérios identificados nos RN classificados como de risco</v>
      </c>
      <c r="D62" s="2" t="s">
        <v>25</v>
      </c>
      <c r="E62" s="2" t="s">
        <v>62</v>
      </c>
      <c r="F62" s="13">
        <v>0</v>
      </c>
      <c r="G62" s="15"/>
      <c r="H62" s="15"/>
      <c r="I62" s="14">
        <f t="shared" si="0"/>
        <v>0</v>
      </c>
      <c r="J62" s="4" t="str">
        <f>IFERROR(VLOOKUP(B62,Referência!$A$5:$I$16,9,FALSE),"")</f>
        <v>quantidade</v>
      </c>
      <c r="K62" s="6" t="s">
        <v>57</v>
      </c>
      <c r="L62" s="5" t="s">
        <v>58</v>
      </c>
      <c r="M62" s="8">
        <v>46276</v>
      </c>
      <c r="N62" s="5" t="s">
        <v>23</v>
      </c>
      <c r="O62" s="5" t="s">
        <v>24</v>
      </c>
      <c r="P62" s="4" t="str">
        <f t="shared" si="1"/>
        <v>COMPLETO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7">
        <v>46113</v>
      </c>
      <c r="B63" s="2" t="s">
        <v>55</v>
      </c>
      <c r="C63" s="3" t="str">
        <f>IFERROR(VLOOKUP(B63,Referência!$A$5:$I$16,2,FALSE),"")</f>
        <v>Critérios identificados nos RN classificados como de risco</v>
      </c>
      <c r="D63" s="2" t="s">
        <v>25</v>
      </c>
      <c r="E63" s="2" t="s">
        <v>63</v>
      </c>
      <c r="F63" s="13">
        <v>1</v>
      </c>
      <c r="G63" s="15"/>
      <c r="H63" s="15"/>
      <c r="I63" s="14">
        <f t="shared" si="0"/>
        <v>1</v>
      </c>
      <c r="J63" s="4" t="str">
        <f>IFERROR(VLOOKUP(B63,Referência!$A$5:$I$16,9,FALSE),"")</f>
        <v>quantidade</v>
      </c>
      <c r="K63" s="6" t="s">
        <v>57</v>
      </c>
      <c r="L63" s="5" t="s">
        <v>58</v>
      </c>
      <c r="M63" s="8">
        <v>46276</v>
      </c>
      <c r="N63" s="5" t="s">
        <v>23</v>
      </c>
      <c r="O63" s="5" t="s">
        <v>24</v>
      </c>
      <c r="P63" s="4" t="str">
        <f t="shared" si="1"/>
        <v>COMPLETO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7">
        <v>46113</v>
      </c>
      <c r="B64" s="2" t="s">
        <v>55</v>
      </c>
      <c r="C64" s="3" t="str">
        <f>IFERROR(VLOOKUP(B64,Referência!$A$5:$I$16,2,FALSE),"")</f>
        <v>Critérios identificados nos RN classificados como de risco</v>
      </c>
      <c r="D64" s="2" t="s">
        <v>25</v>
      </c>
      <c r="E64" s="2" t="s">
        <v>64</v>
      </c>
      <c r="F64" s="13">
        <v>0</v>
      </c>
      <c r="G64" s="15"/>
      <c r="H64" s="15"/>
      <c r="I64" s="14">
        <f t="shared" si="0"/>
        <v>0</v>
      </c>
      <c r="J64" s="4" t="str">
        <f>IFERROR(VLOOKUP(B64,Referência!$A$5:$I$16,9,FALSE),"")</f>
        <v>quantidade</v>
      </c>
      <c r="K64" s="6" t="s">
        <v>57</v>
      </c>
      <c r="L64" s="5" t="s">
        <v>58</v>
      </c>
      <c r="M64" s="8">
        <v>46276</v>
      </c>
      <c r="N64" s="5" t="s">
        <v>23</v>
      </c>
      <c r="O64" s="5" t="s">
        <v>24</v>
      </c>
      <c r="P64" s="4" t="str">
        <f t="shared" si="1"/>
        <v>COMPLETO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7">
        <v>46113</v>
      </c>
      <c r="B65" s="2" t="s">
        <v>55</v>
      </c>
      <c r="C65" s="3" t="str">
        <f>IFERROR(VLOOKUP(B65,Referência!$A$5:$I$16,2,FALSE),"")</f>
        <v>Critérios identificados nos RN classificados como de risco</v>
      </c>
      <c r="D65" s="2" t="s">
        <v>25</v>
      </c>
      <c r="E65" s="2" t="s">
        <v>65</v>
      </c>
      <c r="F65" s="13">
        <v>0</v>
      </c>
      <c r="G65" s="15"/>
      <c r="H65" s="15"/>
      <c r="I65" s="14">
        <f t="shared" si="0"/>
        <v>0</v>
      </c>
      <c r="J65" s="4" t="str">
        <f>IFERROR(VLOOKUP(B65,Referência!$A$5:$I$16,9,FALSE),"")</f>
        <v>quantidade</v>
      </c>
      <c r="K65" s="6" t="s">
        <v>57</v>
      </c>
      <c r="L65" s="5" t="s">
        <v>58</v>
      </c>
      <c r="M65" s="8">
        <v>46276</v>
      </c>
      <c r="N65" s="5" t="s">
        <v>23</v>
      </c>
      <c r="O65" s="5" t="s">
        <v>24</v>
      </c>
      <c r="P65" s="4" t="str">
        <f t="shared" si="1"/>
        <v>COMPLETO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7">
        <v>46143</v>
      </c>
      <c r="B66" s="2" t="s">
        <v>55</v>
      </c>
      <c r="C66" s="3" t="str">
        <f>IFERROR(VLOOKUP(B66,Referência!$A$5:$I$16,2,FALSE),"")</f>
        <v>Critérios identificados nos RN classificados como de risco</v>
      </c>
      <c r="D66" s="2" t="s">
        <v>19</v>
      </c>
      <c r="E66" s="2" t="s">
        <v>56</v>
      </c>
      <c r="F66" s="13">
        <v>1</v>
      </c>
      <c r="G66" s="15"/>
      <c r="H66" s="15"/>
      <c r="I66" s="14">
        <f t="shared" si="0"/>
        <v>1</v>
      </c>
      <c r="J66" s="4" t="str">
        <f>IFERROR(VLOOKUP(B66,Referência!$A$5:$I$16,9,FALSE),"")</f>
        <v>quantidade</v>
      </c>
      <c r="K66" s="6" t="s">
        <v>57</v>
      </c>
      <c r="L66" s="5" t="s">
        <v>58</v>
      </c>
      <c r="M66" s="8">
        <v>46276</v>
      </c>
      <c r="N66" s="5" t="s">
        <v>23</v>
      </c>
      <c r="O66" s="5" t="s">
        <v>24</v>
      </c>
      <c r="P66" s="4" t="str">
        <f t="shared" si="1"/>
        <v>COMPLETO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7">
        <v>46143</v>
      </c>
      <c r="B67" s="2" t="s">
        <v>55</v>
      </c>
      <c r="C67" s="3" t="str">
        <f>IFERROR(VLOOKUP(B67,Referência!$A$5:$I$16,2,FALSE),"")</f>
        <v>Critérios identificados nos RN classificados como de risco</v>
      </c>
      <c r="D67" s="2" t="s">
        <v>19</v>
      </c>
      <c r="E67" s="2" t="s">
        <v>59</v>
      </c>
      <c r="F67" s="13">
        <v>6</v>
      </c>
      <c r="G67" s="15"/>
      <c r="H67" s="15"/>
      <c r="I67" s="14">
        <f t="shared" si="0"/>
        <v>6</v>
      </c>
      <c r="J67" s="4" t="str">
        <f>IFERROR(VLOOKUP(B67,Referência!$A$5:$I$16,9,FALSE),"")</f>
        <v>quantidade</v>
      </c>
      <c r="K67" s="6" t="s">
        <v>57</v>
      </c>
      <c r="L67" s="5" t="s">
        <v>58</v>
      </c>
      <c r="M67" s="8">
        <v>46276</v>
      </c>
      <c r="N67" s="5" t="s">
        <v>23</v>
      </c>
      <c r="O67" s="5" t="s">
        <v>24</v>
      </c>
      <c r="P67" s="4" t="str">
        <f t="shared" si="1"/>
        <v>COMPLETO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7">
        <v>46143</v>
      </c>
      <c r="B68" s="2" t="s">
        <v>55</v>
      </c>
      <c r="C68" s="3" t="str">
        <f>IFERROR(VLOOKUP(B68,Referência!$A$5:$I$16,2,FALSE),"")</f>
        <v>Critérios identificados nos RN classificados como de risco</v>
      </c>
      <c r="D68" s="2" t="s">
        <v>19</v>
      </c>
      <c r="E68" s="2" t="s">
        <v>60</v>
      </c>
      <c r="F68" s="13">
        <v>0</v>
      </c>
      <c r="G68" s="15"/>
      <c r="H68" s="15"/>
      <c r="I68" s="14">
        <f t="shared" si="0"/>
        <v>0</v>
      </c>
      <c r="J68" s="4" t="str">
        <f>IFERROR(VLOOKUP(B68,Referência!$A$5:$I$16,9,FALSE),"")</f>
        <v>quantidade</v>
      </c>
      <c r="K68" s="6" t="s">
        <v>57</v>
      </c>
      <c r="L68" s="5" t="s">
        <v>58</v>
      </c>
      <c r="M68" s="8">
        <v>46276</v>
      </c>
      <c r="N68" s="5" t="s">
        <v>23</v>
      </c>
      <c r="O68" s="5" t="s">
        <v>24</v>
      </c>
      <c r="P68" s="4" t="str">
        <f t="shared" si="1"/>
        <v>COMPLETO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7">
        <v>46143</v>
      </c>
      <c r="B69" s="2" t="s">
        <v>55</v>
      </c>
      <c r="C69" s="3" t="str">
        <f>IFERROR(VLOOKUP(B69,Referência!$A$5:$I$16,2,FALSE),"")</f>
        <v>Critérios identificados nos RN classificados como de risco</v>
      </c>
      <c r="D69" s="2" t="s">
        <v>19</v>
      </c>
      <c r="E69" s="2" t="s">
        <v>61</v>
      </c>
      <c r="F69" s="13">
        <v>4</v>
      </c>
      <c r="G69" s="15"/>
      <c r="H69" s="15"/>
      <c r="I69" s="14">
        <f t="shared" si="0"/>
        <v>4</v>
      </c>
      <c r="J69" s="4" t="str">
        <f>IFERROR(VLOOKUP(B69,Referência!$A$5:$I$16,9,FALSE),"")</f>
        <v>quantidade</v>
      </c>
      <c r="K69" s="6" t="s">
        <v>57</v>
      </c>
      <c r="L69" s="5" t="s">
        <v>58</v>
      </c>
      <c r="M69" s="8">
        <v>46276</v>
      </c>
      <c r="N69" s="5" t="s">
        <v>23</v>
      </c>
      <c r="O69" s="5" t="s">
        <v>24</v>
      </c>
      <c r="P69" s="4" t="str">
        <f t="shared" si="1"/>
        <v>COMPLETO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7">
        <v>46143</v>
      </c>
      <c r="B70" s="2" t="s">
        <v>55</v>
      </c>
      <c r="C70" s="3" t="str">
        <f>IFERROR(VLOOKUP(B70,Referência!$A$5:$I$16,2,FALSE),"")</f>
        <v>Critérios identificados nos RN classificados como de risco</v>
      </c>
      <c r="D70" s="2" t="s">
        <v>19</v>
      </c>
      <c r="E70" s="2" t="s">
        <v>62</v>
      </c>
      <c r="F70" s="13">
        <v>4</v>
      </c>
      <c r="G70" s="15"/>
      <c r="H70" s="15"/>
      <c r="I70" s="14">
        <f t="shared" ref="I70:I133" si="2">IF(B70="","",IF(F70&lt;&gt;"",F70,IF(AND(G70&lt;&gt;"",H70&lt;&gt;""),IF(H70=0,"",G70/H70),"")))</f>
        <v>4</v>
      </c>
      <c r="J70" s="4" t="str">
        <f>IFERROR(VLOOKUP(B70,Referência!$A$5:$I$16,9,FALSE),"")</f>
        <v>quantidade</v>
      </c>
      <c r="K70" s="6" t="s">
        <v>57</v>
      </c>
      <c r="L70" s="5" t="s">
        <v>58</v>
      </c>
      <c r="M70" s="8">
        <v>46276</v>
      </c>
      <c r="N70" s="5" t="s">
        <v>23</v>
      </c>
      <c r="O70" s="5" t="s">
        <v>24</v>
      </c>
      <c r="P70" s="4" t="str">
        <f t="shared" ref="P70:P133" si="3">IF(B70="","",IF(OR(A70="",C70="",D70="",E70="",I70="",J70="",L70="",M70="",N70="",O70=""),"INCOMPLETO","COMPLETO"))</f>
        <v>COMPLETO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7">
        <v>46143</v>
      </c>
      <c r="B71" s="2" t="s">
        <v>55</v>
      </c>
      <c r="C71" s="3" t="str">
        <f>IFERROR(VLOOKUP(B71,Referência!$A$5:$I$16,2,FALSE),"")</f>
        <v>Critérios identificados nos RN classificados como de risco</v>
      </c>
      <c r="D71" s="2" t="s">
        <v>19</v>
      </c>
      <c r="E71" s="2" t="s">
        <v>63</v>
      </c>
      <c r="F71" s="13">
        <v>3</v>
      </c>
      <c r="G71" s="15"/>
      <c r="H71" s="15"/>
      <c r="I71" s="14">
        <f t="shared" si="2"/>
        <v>3</v>
      </c>
      <c r="J71" s="4" t="str">
        <f>IFERROR(VLOOKUP(B71,Referência!$A$5:$I$16,9,FALSE),"")</f>
        <v>quantidade</v>
      </c>
      <c r="K71" s="6" t="s">
        <v>57</v>
      </c>
      <c r="L71" s="5" t="s">
        <v>58</v>
      </c>
      <c r="M71" s="8">
        <v>46276</v>
      </c>
      <c r="N71" s="5" t="s">
        <v>23</v>
      </c>
      <c r="O71" s="5" t="s">
        <v>24</v>
      </c>
      <c r="P71" s="4" t="str">
        <f t="shared" si="3"/>
        <v>COMPLETO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7">
        <v>46143</v>
      </c>
      <c r="B72" s="2" t="s">
        <v>55</v>
      </c>
      <c r="C72" s="3" t="str">
        <f>IFERROR(VLOOKUP(B72,Referência!$A$5:$I$16,2,FALSE),"")</f>
        <v>Critérios identificados nos RN classificados como de risco</v>
      </c>
      <c r="D72" s="2" t="s">
        <v>19</v>
      </c>
      <c r="E72" s="2" t="s">
        <v>64</v>
      </c>
      <c r="F72" s="13">
        <v>0</v>
      </c>
      <c r="G72" s="15"/>
      <c r="H72" s="15"/>
      <c r="I72" s="14">
        <f t="shared" si="2"/>
        <v>0</v>
      </c>
      <c r="J72" s="4" t="str">
        <f>IFERROR(VLOOKUP(B72,Referência!$A$5:$I$16,9,FALSE),"")</f>
        <v>quantidade</v>
      </c>
      <c r="K72" s="6" t="s">
        <v>57</v>
      </c>
      <c r="L72" s="5" t="s">
        <v>58</v>
      </c>
      <c r="M72" s="8">
        <v>46276</v>
      </c>
      <c r="N72" s="5" t="s">
        <v>23</v>
      </c>
      <c r="O72" s="5" t="s">
        <v>24</v>
      </c>
      <c r="P72" s="4" t="str">
        <f t="shared" si="3"/>
        <v>COMPLETO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7">
        <v>46143</v>
      </c>
      <c r="B73" s="2" t="s">
        <v>55</v>
      </c>
      <c r="C73" s="3" t="str">
        <f>IFERROR(VLOOKUP(B73,Referência!$A$5:$I$16,2,FALSE),"")</f>
        <v>Critérios identificados nos RN classificados como de risco</v>
      </c>
      <c r="D73" s="2" t="s">
        <v>19</v>
      </c>
      <c r="E73" s="2" t="s">
        <v>65</v>
      </c>
      <c r="F73" s="13">
        <v>0</v>
      </c>
      <c r="G73" s="15"/>
      <c r="H73" s="15"/>
      <c r="I73" s="14">
        <f t="shared" si="2"/>
        <v>0</v>
      </c>
      <c r="J73" s="4" t="str">
        <f>IFERROR(VLOOKUP(B73,Referência!$A$5:$I$16,9,FALSE),"")</f>
        <v>quantidade</v>
      </c>
      <c r="K73" s="6" t="s">
        <v>57</v>
      </c>
      <c r="L73" s="5" t="s">
        <v>58</v>
      </c>
      <c r="M73" s="8">
        <v>46276</v>
      </c>
      <c r="N73" s="5" t="s">
        <v>23</v>
      </c>
      <c r="O73" s="5" t="s">
        <v>24</v>
      </c>
      <c r="P73" s="4" t="str">
        <f t="shared" si="3"/>
        <v>COMPLETO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7">
        <v>46143</v>
      </c>
      <c r="B74" s="2" t="s">
        <v>55</v>
      </c>
      <c r="C74" s="3" t="str">
        <f>IFERROR(VLOOKUP(B74,Referência!$A$5:$I$16,2,FALSE),"")</f>
        <v>Critérios identificados nos RN classificados como de risco</v>
      </c>
      <c r="D74" s="2" t="s">
        <v>25</v>
      </c>
      <c r="E74" s="2" t="s">
        <v>56</v>
      </c>
      <c r="F74" s="13">
        <v>0</v>
      </c>
      <c r="G74" s="15"/>
      <c r="H74" s="15"/>
      <c r="I74" s="14">
        <f t="shared" si="2"/>
        <v>0</v>
      </c>
      <c r="J74" s="4" t="str">
        <f>IFERROR(VLOOKUP(B74,Referência!$A$5:$I$16,9,FALSE),"")</f>
        <v>quantidade</v>
      </c>
      <c r="K74" s="6" t="s">
        <v>57</v>
      </c>
      <c r="L74" s="5" t="s">
        <v>58</v>
      </c>
      <c r="M74" s="8">
        <v>46276</v>
      </c>
      <c r="N74" s="5" t="s">
        <v>23</v>
      </c>
      <c r="O74" s="5" t="s">
        <v>24</v>
      </c>
      <c r="P74" s="4" t="str">
        <f t="shared" si="3"/>
        <v>COMPLETO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7">
        <v>46143</v>
      </c>
      <c r="B75" s="2" t="s">
        <v>55</v>
      </c>
      <c r="C75" s="3" t="str">
        <f>IFERROR(VLOOKUP(B75,Referência!$A$5:$I$16,2,FALSE),"")</f>
        <v>Critérios identificados nos RN classificados como de risco</v>
      </c>
      <c r="D75" s="2" t="s">
        <v>25</v>
      </c>
      <c r="E75" s="2" t="s">
        <v>59</v>
      </c>
      <c r="F75" s="13">
        <v>9</v>
      </c>
      <c r="G75" s="15"/>
      <c r="H75" s="15"/>
      <c r="I75" s="14">
        <f t="shared" si="2"/>
        <v>9</v>
      </c>
      <c r="J75" s="4" t="str">
        <f>IFERROR(VLOOKUP(B75,Referência!$A$5:$I$16,9,FALSE),"")</f>
        <v>quantidade</v>
      </c>
      <c r="K75" s="6" t="s">
        <v>57</v>
      </c>
      <c r="L75" s="5" t="s">
        <v>58</v>
      </c>
      <c r="M75" s="8">
        <v>46276</v>
      </c>
      <c r="N75" s="5" t="s">
        <v>23</v>
      </c>
      <c r="O75" s="5" t="s">
        <v>24</v>
      </c>
      <c r="P75" s="4" t="str">
        <f t="shared" si="3"/>
        <v>COMPLETO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7">
        <v>46143</v>
      </c>
      <c r="B76" s="2" t="s">
        <v>55</v>
      </c>
      <c r="C76" s="3" t="str">
        <f>IFERROR(VLOOKUP(B76,Referência!$A$5:$I$16,2,FALSE),"")</f>
        <v>Critérios identificados nos RN classificados como de risco</v>
      </c>
      <c r="D76" s="2" t="s">
        <v>25</v>
      </c>
      <c r="E76" s="2" t="s">
        <v>60</v>
      </c>
      <c r="F76" s="13">
        <v>0</v>
      </c>
      <c r="G76" s="15"/>
      <c r="H76" s="15"/>
      <c r="I76" s="14">
        <f t="shared" si="2"/>
        <v>0</v>
      </c>
      <c r="J76" s="4" t="str">
        <f>IFERROR(VLOOKUP(B76,Referência!$A$5:$I$16,9,FALSE),"")</f>
        <v>quantidade</v>
      </c>
      <c r="K76" s="6" t="s">
        <v>57</v>
      </c>
      <c r="L76" s="5" t="s">
        <v>58</v>
      </c>
      <c r="M76" s="8">
        <v>46276</v>
      </c>
      <c r="N76" s="5" t="s">
        <v>23</v>
      </c>
      <c r="O76" s="5" t="s">
        <v>24</v>
      </c>
      <c r="P76" s="4" t="str">
        <f t="shared" si="3"/>
        <v>COMPLETO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7">
        <v>46143</v>
      </c>
      <c r="B77" s="2" t="s">
        <v>55</v>
      </c>
      <c r="C77" s="3" t="str">
        <f>IFERROR(VLOOKUP(B77,Referência!$A$5:$I$16,2,FALSE),"")</f>
        <v>Critérios identificados nos RN classificados como de risco</v>
      </c>
      <c r="D77" s="2" t="s">
        <v>25</v>
      </c>
      <c r="E77" s="2" t="s">
        <v>61</v>
      </c>
      <c r="F77" s="13">
        <v>0</v>
      </c>
      <c r="G77" s="15"/>
      <c r="H77" s="15"/>
      <c r="I77" s="14">
        <f t="shared" si="2"/>
        <v>0</v>
      </c>
      <c r="J77" s="4" t="str">
        <f>IFERROR(VLOOKUP(B77,Referência!$A$5:$I$16,9,FALSE),"")</f>
        <v>quantidade</v>
      </c>
      <c r="K77" s="6" t="s">
        <v>57</v>
      </c>
      <c r="L77" s="5" t="s">
        <v>58</v>
      </c>
      <c r="M77" s="8">
        <v>46276</v>
      </c>
      <c r="N77" s="5" t="s">
        <v>23</v>
      </c>
      <c r="O77" s="5" t="s">
        <v>24</v>
      </c>
      <c r="P77" s="4" t="str">
        <f t="shared" si="3"/>
        <v>COMPLETO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7">
        <v>46143</v>
      </c>
      <c r="B78" s="2" t="s">
        <v>55</v>
      </c>
      <c r="C78" s="3" t="str">
        <f>IFERROR(VLOOKUP(B78,Referência!$A$5:$I$16,2,FALSE),"")</f>
        <v>Critérios identificados nos RN classificados como de risco</v>
      </c>
      <c r="D78" s="2" t="s">
        <v>25</v>
      </c>
      <c r="E78" s="2" t="s">
        <v>62</v>
      </c>
      <c r="F78" s="13">
        <v>5</v>
      </c>
      <c r="G78" s="15"/>
      <c r="H78" s="15"/>
      <c r="I78" s="14">
        <f t="shared" si="2"/>
        <v>5</v>
      </c>
      <c r="J78" s="4" t="str">
        <f>IFERROR(VLOOKUP(B78,Referência!$A$5:$I$16,9,FALSE),"")</f>
        <v>quantidade</v>
      </c>
      <c r="K78" s="6" t="s">
        <v>57</v>
      </c>
      <c r="L78" s="5" t="s">
        <v>58</v>
      </c>
      <c r="M78" s="8">
        <v>46276</v>
      </c>
      <c r="N78" s="5" t="s">
        <v>23</v>
      </c>
      <c r="O78" s="5" t="s">
        <v>24</v>
      </c>
      <c r="P78" s="4" t="str">
        <f t="shared" si="3"/>
        <v>COMPLETO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7">
        <v>46143</v>
      </c>
      <c r="B79" s="2" t="s">
        <v>55</v>
      </c>
      <c r="C79" s="3" t="str">
        <f>IFERROR(VLOOKUP(B79,Referência!$A$5:$I$16,2,FALSE),"")</f>
        <v>Critérios identificados nos RN classificados como de risco</v>
      </c>
      <c r="D79" s="2" t="s">
        <v>25</v>
      </c>
      <c r="E79" s="2" t="s">
        <v>63</v>
      </c>
      <c r="F79" s="13">
        <v>2</v>
      </c>
      <c r="G79" s="15"/>
      <c r="H79" s="15"/>
      <c r="I79" s="14">
        <f t="shared" si="2"/>
        <v>2</v>
      </c>
      <c r="J79" s="4" t="str">
        <f>IFERROR(VLOOKUP(B79,Referência!$A$5:$I$16,9,FALSE),"")</f>
        <v>quantidade</v>
      </c>
      <c r="K79" s="6" t="s">
        <v>57</v>
      </c>
      <c r="L79" s="5" t="s">
        <v>58</v>
      </c>
      <c r="M79" s="8">
        <v>46276</v>
      </c>
      <c r="N79" s="5" t="s">
        <v>23</v>
      </c>
      <c r="O79" s="5" t="s">
        <v>24</v>
      </c>
      <c r="P79" s="4" t="str">
        <f t="shared" si="3"/>
        <v>COMPLETO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7">
        <v>46143</v>
      </c>
      <c r="B80" s="2" t="s">
        <v>55</v>
      </c>
      <c r="C80" s="3" t="str">
        <f>IFERROR(VLOOKUP(B80,Referência!$A$5:$I$16,2,FALSE),"")</f>
        <v>Critérios identificados nos RN classificados como de risco</v>
      </c>
      <c r="D80" s="2" t="s">
        <v>25</v>
      </c>
      <c r="E80" s="2" t="s">
        <v>64</v>
      </c>
      <c r="F80" s="13">
        <v>0</v>
      </c>
      <c r="G80" s="15"/>
      <c r="H80" s="15"/>
      <c r="I80" s="14">
        <f t="shared" si="2"/>
        <v>0</v>
      </c>
      <c r="J80" s="4" t="str">
        <f>IFERROR(VLOOKUP(B80,Referência!$A$5:$I$16,9,FALSE),"")</f>
        <v>quantidade</v>
      </c>
      <c r="K80" s="6" t="s">
        <v>57</v>
      </c>
      <c r="L80" s="5" t="s">
        <v>58</v>
      </c>
      <c r="M80" s="8">
        <v>46276</v>
      </c>
      <c r="N80" s="5" t="s">
        <v>23</v>
      </c>
      <c r="O80" s="5" t="s">
        <v>24</v>
      </c>
      <c r="P80" s="4" t="str">
        <f t="shared" si="3"/>
        <v>COMPLETO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7">
        <v>46143</v>
      </c>
      <c r="B81" s="2" t="s">
        <v>55</v>
      </c>
      <c r="C81" s="3" t="str">
        <f>IFERROR(VLOOKUP(B81,Referência!$A$5:$I$16,2,FALSE),"")</f>
        <v>Critérios identificados nos RN classificados como de risco</v>
      </c>
      <c r="D81" s="2" t="s">
        <v>25</v>
      </c>
      <c r="E81" s="2" t="s">
        <v>65</v>
      </c>
      <c r="F81" s="13">
        <v>0</v>
      </c>
      <c r="G81" s="15"/>
      <c r="H81" s="15"/>
      <c r="I81" s="14">
        <f t="shared" si="2"/>
        <v>0</v>
      </c>
      <c r="J81" s="4" t="str">
        <f>IFERROR(VLOOKUP(B81,Referência!$A$5:$I$16,9,FALSE),"")</f>
        <v>quantidade</v>
      </c>
      <c r="K81" s="6" t="s">
        <v>57</v>
      </c>
      <c r="L81" s="5" t="s">
        <v>58</v>
      </c>
      <c r="M81" s="8">
        <v>46276</v>
      </c>
      <c r="N81" s="5" t="s">
        <v>23</v>
      </c>
      <c r="O81" s="5" t="s">
        <v>24</v>
      </c>
      <c r="P81" s="4" t="str">
        <f t="shared" si="3"/>
        <v>COMPLETO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7">
        <v>46174</v>
      </c>
      <c r="B82" s="2" t="s">
        <v>55</v>
      </c>
      <c r="C82" s="3" t="str">
        <f>IFERROR(VLOOKUP(B82,Referência!$A$5:$I$16,2,FALSE),"")</f>
        <v>Critérios identificados nos RN classificados como de risco</v>
      </c>
      <c r="D82" s="2" t="s">
        <v>19</v>
      </c>
      <c r="E82" s="2" t="s">
        <v>56</v>
      </c>
      <c r="F82" s="13">
        <v>1</v>
      </c>
      <c r="G82" s="15"/>
      <c r="H82" s="15"/>
      <c r="I82" s="14">
        <f t="shared" si="2"/>
        <v>1</v>
      </c>
      <c r="J82" s="4" t="str">
        <f>IFERROR(VLOOKUP(B82,Referência!$A$5:$I$16,9,FALSE),"")</f>
        <v>quantidade</v>
      </c>
      <c r="K82" s="6" t="s">
        <v>57</v>
      </c>
      <c r="L82" s="5" t="s">
        <v>58</v>
      </c>
      <c r="M82" s="8">
        <v>46276</v>
      </c>
      <c r="N82" s="5" t="s">
        <v>23</v>
      </c>
      <c r="O82" s="5" t="s">
        <v>24</v>
      </c>
      <c r="P82" s="4" t="str">
        <f t="shared" si="3"/>
        <v>COMPLETO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7">
        <v>46174</v>
      </c>
      <c r="B83" s="2" t="s">
        <v>55</v>
      </c>
      <c r="C83" s="3" t="str">
        <f>IFERROR(VLOOKUP(B83,Referência!$A$5:$I$16,2,FALSE),"")</f>
        <v>Critérios identificados nos RN classificados como de risco</v>
      </c>
      <c r="D83" s="2" t="s">
        <v>19</v>
      </c>
      <c r="E83" s="2" t="s">
        <v>59</v>
      </c>
      <c r="F83" s="13">
        <v>5</v>
      </c>
      <c r="G83" s="15"/>
      <c r="H83" s="15"/>
      <c r="I83" s="14">
        <f t="shared" si="2"/>
        <v>5</v>
      </c>
      <c r="J83" s="4" t="str">
        <f>IFERROR(VLOOKUP(B83,Referência!$A$5:$I$16,9,FALSE),"")</f>
        <v>quantidade</v>
      </c>
      <c r="K83" s="6" t="s">
        <v>57</v>
      </c>
      <c r="L83" s="5" t="s">
        <v>58</v>
      </c>
      <c r="M83" s="8">
        <v>46276</v>
      </c>
      <c r="N83" s="5" t="s">
        <v>23</v>
      </c>
      <c r="O83" s="5" t="s">
        <v>24</v>
      </c>
      <c r="P83" s="4" t="str">
        <f t="shared" si="3"/>
        <v>COMPLETO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7">
        <v>46174</v>
      </c>
      <c r="B84" s="2" t="s">
        <v>55</v>
      </c>
      <c r="C84" s="3" t="str">
        <f>IFERROR(VLOOKUP(B84,Referência!$A$5:$I$16,2,FALSE),"")</f>
        <v>Critérios identificados nos RN classificados como de risco</v>
      </c>
      <c r="D84" s="2" t="s">
        <v>19</v>
      </c>
      <c r="E84" s="2" t="s">
        <v>60</v>
      </c>
      <c r="F84" s="13">
        <v>0</v>
      </c>
      <c r="G84" s="15"/>
      <c r="H84" s="15"/>
      <c r="I84" s="14">
        <f t="shared" si="2"/>
        <v>0</v>
      </c>
      <c r="J84" s="4" t="str">
        <f>IFERROR(VLOOKUP(B84,Referência!$A$5:$I$16,9,FALSE),"")</f>
        <v>quantidade</v>
      </c>
      <c r="K84" s="6" t="s">
        <v>57</v>
      </c>
      <c r="L84" s="5" t="s">
        <v>58</v>
      </c>
      <c r="M84" s="8">
        <v>46276</v>
      </c>
      <c r="N84" s="5" t="s">
        <v>23</v>
      </c>
      <c r="O84" s="5" t="s">
        <v>24</v>
      </c>
      <c r="P84" s="4" t="str">
        <f t="shared" si="3"/>
        <v>COMPLETO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7">
        <v>46174</v>
      </c>
      <c r="B85" s="2" t="s">
        <v>55</v>
      </c>
      <c r="C85" s="3" t="str">
        <f>IFERROR(VLOOKUP(B85,Referência!$A$5:$I$16,2,FALSE),"")</f>
        <v>Critérios identificados nos RN classificados como de risco</v>
      </c>
      <c r="D85" s="2" t="s">
        <v>19</v>
      </c>
      <c r="E85" s="2" t="s">
        <v>61</v>
      </c>
      <c r="F85" s="13">
        <v>1</v>
      </c>
      <c r="G85" s="15"/>
      <c r="H85" s="15"/>
      <c r="I85" s="14">
        <f t="shared" si="2"/>
        <v>1</v>
      </c>
      <c r="J85" s="4" t="str">
        <f>IFERROR(VLOOKUP(B85,Referência!$A$5:$I$16,9,FALSE),"")</f>
        <v>quantidade</v>
      </c>
      <c r="K85" s="6" t="s">
        <v>57</v>
      </c>
      <c r="L85" s="5" t="s">
        <v>58</v>
      </c>
      <c r="M85" s="8">
        <v>46276</v>
      </c>
      <c r="N85" s="5" t="s">
        <v>23</v>
      </c>
      <c r="O85" s="5" t="s">
        <v>24</v>
      </c>
      <c r="P85" s="4" t="str">
        <f t="shared" si="3"/>
        <v>COMPLETO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7">
        <v>46174</v>
      </c>
      <c r="B86" s="2" t="s">
        <v>55</v>
      </c>
      <c r="C86" s="3" t="str">
        <f>IFERROR(VLOOKUP(B86,Referência!$A$5:$I$16,2,FALSE),"")</f>
        <v>Critérios identificados nos RN classificados como de risco</v>
      </c>
      <c r="D86" s="2" t="s">
        <v>19</v>
      </c>
      <c r="E86" s="2" t="s">
        <v>62</v>
      </c>
      <c r="F86" s="13">
        <v>4</v>
      </c>
      <c r="G86" s="15"/>
      <c r="H86" s="15"/>
      <c r="I86" s="14">
        <f t="shared" si="2"/>
        <v>4</v>
      </c>
      <c r="J86" s="4" t="str">
        <f>IFERROR(VLOOKUP(B86,Referência!$A$5:$I$16,9,FALSE),"")</f>
        <v>quantidade</v>
      </c>
      <c r="K86" s="6" t="s">
        <v>57</v>
      </c>
      <c r="L86" s="5" t="s">
        <v>58</v>
      </c>
      <c r="M86" s="8">
        <v>46276</v>
      </c>
      <c r="N86" s="5" t="s">
        <v>23</v>
      </c>
      <c r="O86" s="5" t="s">
        <v>24</v>
      </c>
      <c r="P86" s="4" t="str">
        <f t="shared" si="3"/>
        <v>COMPLETO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7">
        <v>46174</v>
      </c>
      <c r="B87" s="2" t="s">
        <v>55</v>
      </c>
      <c r="C87" s="3" t="str">
        <f>IFERROR(VLOOKUP(B87,Referência!$A$5:$I$16,2,FALSE),"")</f>
        <v>Critérios identificados nos RN classificados como de risco</v>
      </c>
      <c r="D87" s="2" t="s">
        <v>19</v>
      </c>
      <c r="E87" s="2" t="s">
        <v>63</v>
      </c>
      <c r="F87" s="13">
        <v>6</v>
      </c>
      <c r="G87" s="15"/>
      <c r="H87" s="15"/>
      <c r="I87" s="14">
        <f t="shared" si="2"/>
        <v>6</v>
      </c>
      <c r="J87" s="4" t="str">
        <f>IFERROR(VLOOKUP(B87,Referência!$A$5:$I$16,9,FALSE),"")</f>
        <v>quantidade</v>
      </c>
      <c r="K87" s="6" t="s">
        <v>57</v>
      </c>
      <c r="L87" s="5" t="s">
        <v>58</v>
      </c>
      <c r="M87" s="8">
        <v>46276</v>
      </c>
      <c r="N87" s="5" t="s">
        <v>23</v>
      </c>
      <c r="O87" s="5" t="s">
        <v>24</v>
      </c>
      <c r="P87" s="4" t="str">
        <f t="shared" si="3"/>
        <v>COMPLETO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7">
        <v>46174</v>
      </c>
      <c r="B88" s="2" t="s">
        <v>55</v>
      </c>
      <c r="C88" s="3" t="str">
        <f>IFERROR(VLOOKUP(B88,Referência!$A$5:$I$16,2,FALSE),"")</f>
        <v>Critérios identificados nos RN classificados como de risco</v>
      </c>
      <c r="D88" s="2" t="s">
        <v>19</v>
      </c>
      <c r="E88" s="2" t="s">
        <v>64</v>
      </c>
      <c r="F88" s="13">
        <v>0</v>
      </c>
      <c r="G88" s="15"/>
      <c r="H88" s="15"/>
      <c r="I88" s="14">
        <f t="shared" si="2"/>
        <v>0</v>
      </c>
      <c r="J88" s="4" t="str">
        <f>IFERROR(VLOOKUP(B88,Referência!$A$5:$I$16,9,FALSE),"")</f>
        <v>quantidade</v>
      </c>
      <c r="K88" s="6" t="s">
        <v>57</v>
      </c>
      <c r="L88" s="5" t="s">
        <v>58</v>
      </c>
      <c r="M88" s="8">
        <v>46276</v>
      </c>
      <c r="N88" s="5" t="s">
        <v>23</v>
      </c>
      <c r="O88" s="5" t="s">
        <v>24</v>
      </c>
      <c r="P88" s="4" t="str">
        <f t="shared" si="3"/>
        <v>COMPLETO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7">
        <v>46174</v>
      </c>
      <c r="B89" s="2" t="s">
        <v>55</v>
      </c>
      <c r="C89" s="3" t="str">
        <f>IFERROR(VLOOKUP(B89,Referência!$A$5:$I$16,2,FALSE),"")</f>
        <v>Critérios identificados nos RN classificados como de risco</v>
      </c>
      <c r="D89" s="2" t="s">
        <v>19</v>
      </c>
      <c r="E89" s="2" t="s">
        <v>65</v>
      </c>
      <c r="F89" s="13">
        <v>0</v>
      </c>
      <c r="G89" s="15"/>
      <c r="H89" s="15"/>
      <c r="I89" s="14">
        <f t="shared" si="2"/>
        <v>0</v>
      </c>
      <c r="J89" s="4" t="str">
        <f>IFERROR(VLOOKUP(B89,Referência!$A$5:$I$16,9,FALSE),"")</f>
        <v>quantidade</v>
      </c>
      <c r="K89" s="6" t="s">
        <v>57</v>
      </c>
      <c r="L89" s="5" t="s">
        <v>58</v>
      </c>
      <c r="M89" s="8">
        <v>46276</v>
      </c>
      <c r="N89" s="5" t="s">
        <v>23</v>
      </c>
      <c r="O89" s="5" t="s">
        <v>24</v>
      </c>
      <c r="P89" s="4" t="str">
        <f t="shared" si="3"/>
        <v>COMPLETO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7">
        <v>46174</v>
      </c>
      <c r="B90" s="2" t="s">
        <v>55</v>
      </c>
      <c r="C90" s="3" t="str">
        <f>IFERROR(VLOOKUP(B90,Referência!$A$5:$I$16,2,FALSE),"")</f>
        <v>Critérios identificados nos RN classificados como de risco</v>
      </c>
      <c r="D90" s="2" t="s">
        <v>25</v>
      </c>
      <c r="E90" s="2" t="s">
        <v>56</v>
      </c>
      <c r="F90" s="13">
        <v>0</v>
      </c>
      <c r="G90" s="15"/>
      <c r="H90" s="15"/>
      <c r="I90" s="14">
        <f t="shared" si="2"/>
        <v>0</v>
      </c>
      <c r="J90" s="4" t="str">
        <f>IFERROR(VLOOKUP(B90,Referência!$A$5:$I$16,9,FALSE),"")</f>
        <v>quantidade</v>
      </c>
      <c r="K90" s="6" t="s">
        <v>57</v>
      </c>
      <c r="L90" s="5" t="s">
        <v>58</v>
      </c>
      <c r="M90" s="8">
        <v>46276</v>
      </c>
      <c r="N90" s="5" t="s">
        <v>23</v>
      </c>
      <c r="O90" s="5" t="s">
        <v>24</v>
      </c>
      <c r="P90" s="4" t="str">
        <f t="shared" si="3"/>
        <v>COMPLETO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7">
        <v>46174</v>
      </c>
      <c r="B91" s="2" t="s">
        <v>55</v>
      </c>
      <c r="C91" s="3" t="str">
        <f>IFERROR(VLOOKUP(B91,Referência!$A$5:$I$16,2,FALSE),"")</f>
        <v>Critérios identificados nos RN classificados como de risco</v>
      </c>
      <c r="D91" s="2" t="s">
        <v>25</v>
      </c>
      <c r="E91" s="2" t="s">
        <v>59</v>
      </c>
      <c r="F91" s="13">
        <v>5</v>
      </c>
      <c r="G91" s="15"/>
      <c r="H91" s="15"/>
      <c r="I91" s="14">
        <f t="shared" si="2"/>
        <v>5</v>
      </c>
      <c r="J91" s="4" t="str">
        <f>IFERROR(VLOOKUP(B91,Referência!$A$5:$I$16,9,FALSE),"")</f>
        <v>quantidade</v>
      </c>
      <c r="K91" s="6" t="s">
        <v>57</v>
      </c>
      <c r="L91" s="5" t="s">
        <v>58</v>
      </c>
      <c r="M91" s="8">
        <v>46276</v>
      </c>
      <c r="N91" s="5" t="s">
        <v>23</v>
      </c>
      <c r="O91" s="5" t="s">
        <v>24</v>
      </c>
      <c r="P91" s="4" t="str">
        <f t="shared" si="3"/>
        <v>COMPLETO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7">
        <v>46174</v>
      </c>
      <c r="B92" s="2" t="s">
        <v>55</v>
      </c>
      <c r="C92" s="3" t="str">
        <f>IFERROR(VLOOKUP(B92,Referência!$A$5:$I$16,2,FALSE),"")</f>
        <v>Critérios identificados nos RN classificados como de risco</v>
      </c>
      <c r="D92" s="2" t="s">
        <v>25</v>
      </c>
      <c r="E92" s="2" t="s">
        <v>60</v>
      </c>
      <c r="F92" s="13">
        <v>0</v>
      </c>
      <c r="G92" s="15"/>
      <c r="H92" s="15"/>
      <c r="I92" s="14">
        <f t="shared" si="2"/>
        <v>0</v>
      </c>
      <c r="J92" s="4" t="str">
        <f>IFERROR(VLOOKUP(B92,Referência!$A$5:$I$16,9,FALSE),"")</f>
        <v>quantidade</v>
      </c>
      <c r="K92" s="6" t="s">
        <v>57</v>
      </c>
      <c r="L92" s="5" t="s">
        <v>58</v>
      </c>
      <c r="M92" s="8">
        <v>46276</v>
      </c>
      <c r="N92" s="5" t="s">
        <v>23</v>
      </c>
      <c r="O92" s="5" t="s">
        <v>24</v>
      </c>
      <c r="P92" s="4" t="str">
        <f t="shared" si="3"/>
        <v>COMPLETO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7">
        <v>46174</v>
      </c>
      <c r="B93" s="2" t="s">
        <v>55</v>
      </c>
      <c r="C93" s="3" t="str">
        <f>IFERROR(VLOOKUP(B93,Referência!$A$5:$I$16,2,FALSE),"")</f>
        <v>Critérios identificados nos RN classificados como de risco</v>
      </c>
      <c r="D93" s="2" t="s">
        <v>25</v>
      </c>
      <c r="E93" s="2" t="s">
        <v>61</v>
      </c>
      <c r="F93" s="13">
        <v>0</v>
      </c>
      <c r="G93" s="15"/>
      <c r="H93" s="15"/>
      <c r="I93" s="14">
        <f t="shared" si="2"/>
        <v>0</v>
      </c>
      <c r="J93" s="4" t="str">
        <f>IFERROR(VLOOKUP(B93,Referência!$A$5:$I$16,9,FALSE),"")</f>
        <v>quantidade</v>
      </c>
      <c r="K93" s="6" t="s">
        <v>57</v>
      </c>
      <c r="L93" s="5" t="s">
        <v>58</v>
      </c>
      <c r="M93" s="8">
        <v>46276</v>
      </c>
      <c r="N93" s="5" t="s">
        <v>23</v>
      </c>
      <c r="O93" s="5" t="s">
        <v>24</v>
      </c>
      <c r="P93" s="4" t="str">
        <f t="shared" si="3"/>
        <v>COMPLETO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7">
        <v>46174</v>
      </c>
      <c r="B94" s="2" t="s">
        <v>55</v>
      </c>
      <c r="C94" s="3" t="str">
        <f>IFERROR(VLOOKUP(B94,Referência!$A$5:$I$16,2,FALSE),"")</f>
        <v>Critérios identificados nos RN classificados como de risco</v>
      </c>
      <c r="D94" s="2" t="s">
        <v>25</v>
      </c>
      <c r="E94" s="2" t="s">
        <v>62</v>
      </c>
      <c r="F94" s="13">
        <v>2</v>
      </c>
      <c r="G94" s="15"/>
      <c r="H94" s="15"/>
      <c r="I94" s="14">
        <f t="shared" si="2"/>
        <v>2</v>
      </c>
      <c r="J94" s="4" t="str">
        <f>IFERROR(VLOOKUP(B94,Referência!$A$5:$I$16,9,FALSE),"")</f>
        <v>quantidade</v>
      </c>
      <c r="K94" s="6" t="s">
        <v>57</v>
      </c>
      <c r="L94" s="5" t="s">
        <v>58</v>
      </c>
      <c r="M94" s="8">
        <v>46276</v>
      </c>
      <c r="N94" s="5" t="s">
        <v>23</v>
      </c>
      <c r="O94" s="5" t="s">
        <v>24</v>
      </c>
      <c r="P94" s="4" t="str">
        <f t="shared" si="3"/>
        <v>COMPLETO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7">
        <v>46174</v>
      </c>
      <c r="B95" s="2" t="s">
        <v>55</v>
      </c>
      <c r="C95" s="3" t="str">
        <f>IFERROR(VLOOKUP(B95,Referência!$A$5:$I$16,2,FALSE),"")</f>
        <v>Critérios identificados nos RN classificados como de risco</v>
      </c>
      <c r="D95" s="2" t="s">
        <v>25</v>
      </c>
      <c r="E95" s="2" t="s">
        <v>63</v>
      </c>
      <c r="F95" s="13">
        <v>3</v>
      </c>
      <c r="G95" s="15"/>
      <c r="H95" s="15"/>
      <c r="I95" s="14">
        <f t="shared" si="2"/>
        <v>3</v>
      </c>
      <c r="J95" s="4" t="str">
        <f>IFERROR(VLOOKUP(B95,Referência!$A$5:$I$16,9,FALSE),"")</f>
        <v>quantidade</v>
      </c>
      <c r="K95" s="6" t="s">
        <v>57</v>
      </c>
      <c r="L95" s="5" t="s">
        <v>58</v>
      </c>
      <c r="M95" s="8">
        <v>46276</v>
      </c>
      <c r="N95" s="5" t="s">
        <v>23</v>
      </c>
      <c r="O95" s="5" t="s">
        <v>24</v>
      </c>
      <c r="P95" s="4" t="str">
        <f t="shared" si="3"/>
        <v>COMPLETO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7">
        <v>46174</v>
      </c>
      <c r="B96" s="2" t="s">
        <v>55</v>
      </c>
      <c r="C96" s="3" t="str">
        <f>IFERROR(VLOOKUP(B96,Referência!$A$5:$I$16,2,FALSE),"")</f>
        <v>Critérios identificados nos RN classificados como de risco</v>
      </c>
      <c r="D96" s="2" t="s">
        <v>25</v>
      </c>
      <c r="E96" s="2" t="s">
        <v>64</v>
      </c>
      <c r="F96" s="13">
        <v>0</v>
      </c>
      <c r="G96" s="15"/>
      <c r="H96" s="15"/>
      <c r="I96" s="14">
        <f t="shared" si="2"/>
        <v>0</v>
      </c>
      <c r="J96" s="4" t="str">
        <f>IFERROR(VLOOKUP(B96,Referência!$A$5:$I$16,9,FALSE),"")</f>
        <v>quantidade</v>
      </c>
      <c r="K96" s="6" t="s">
        <v>57</v>
      </c>
      <c r="L96" s="5" t="s">
        <v>58</v>
      </c>
      <c r="M96" s="8">
        <v>46276</v>
      </c>
      <c r="N96" s="5" t="s">
        <v>23</v>
      </c>
      <c r="O96" s="5" t="s">
        <v>24</v>
      </c>
      <c r="P96" s="4" t="str">
        <f t="shared" si="3"/>
        <v>COMPLETO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7">
        <v>46174</v>
      </c>
      <c r="B97" s="2" t="s">
        <v>55</v>
      </c>
      <c r="C97" s="3" t="str">
        <f>IFERROR(VLOOKUP(B97,Referência!$A$5:$I$16,2,FALSE),"")</f>
        <v>Critérios identificados nos RN classificados como de risco</v>
      </c>
      <c r="D97" s="2" t="s">
        <v>25</v>
      </c>
      <c r="E97" s="2" t="s">
        <v>65</v>
      </c>
      <c r="F97" s="13">
        <v>0</v>
      </c>
      <c r="G97" s="15"/>
      <c r="H97" s="15"/>
      <c r="I97" s="14">
        <f t="shared" si="2"/>
        <v>0</v>
      </c>
      <c r="J97" s="4" t="str">
        <f>IFERROR(VLOOKUP(B97,Referência!$A$5:$I$16,9,FALSE),"")</f>
        <v>quantidade</v>
      </c>
      <c r="K97" s="6" t="s">
        <v>57</v>
      </c>
      <c r="L97" s="5" t="s">
        <v>58</v>
      </c>
      <c r="M97" s="8">
        <v>46276</v>
      </c>
      <c r="N97" s="5" t="s">
        <v>23</v>
      </c>
      <c r="O97" s="5" t="s">
        <v>24</v>
      </c>
      <c r="P97" s="4" t="str">
        <f t="shared" si="3"/>
        <v>COMPLETO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7">
        <v>46204</v>
      </c>
      <c r="B98" s="2" t="s">
        <v>55</v>
      </c>
      <c r="C98" s="3" t="str">
        <f>IFERROR(VLOOKUP(B98,Referência!$A$5:$I$16,2,FALSE),"")</f>
        <v>Critérios identificados nos RN classificados como de risco</v>
      </c>
      <c r="D98" s="2" t="s">
        <v>19</v>
      </c>
      <c r="E98" s="2" t="s">
        <v>56</v>
      </c>
      <c r="F98" s="13">
        <v>1</v>
      </c>
      <c r="G98" s="15"/>
      <c r="H98" s="15"/>
      <c r="I98" s="14">
        <f t="shared" si="2"/>
        <v>1</v>
      </c>
      <c r="J98" s="4" t="str">
        <f>IFERROR(VLOOKUP(B98,Referência!$A$5:$I$16,9,FALSE),"")</f>
        <v>quantidade</v>
      </c>
      <c r="K98" s="6" t="s">
        <v>57</v>
      </c>
      <c r="L98" s="5" t="s">
        <v>58</v>
      </c>
      <c r="M98" s="8">
        <v>46276</v>
      </c>
      <c r="N98" s="5" t="s">
        <v>23</v>
      </c>
      <c r="O98" s="5" t="s">
        <v>24</v>
      </c>
      <c r="P98" s="4" t="str">
        <f t="shared" si="3"/>
        <v>COMPLETO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7">
        <v>46204</v>
      </c>
      <c r="B99" s="2" t="s">
        <v>55</v>
      </c>
      <c r="C99" s="3" t="str">
        <f>IFERROR(VLOOKUP(B99,Referência!$A$5:$I$16,2,FALSE),"")</f>
        <v>Critérios identificados nos RN classificados como de risco</v>
      </c>
      <c r="D99" s="2" t="s">
        <v>19</v>
      </c>
      <c r="E99" s="2" t="s">
        <v>59</v>
      </c>
      <c r="F99" s="13">
        <v>1</v>
      </c>
      <c r="G99" s="15"/>
      <c r="H99" s="15"/>
      <c r="I99" s="14">
        <f t="shared" si="2"/>
        <v>1</v>
      </c>
      <c r="J99" s="4" t="str">
        <f>IFERROR(VLOOKUP(B99,Referência!$A$5:$I$16,9,FALSE),"")</f>
        <v>quantidade</v>
      </c>
      <c r="K99" s="6" t="s">
        <v>57</v>
      </c>
      <c r="L99" s="5" t="s">
        <v>58</v>
      </c>
      <c r="M99" s="8">
        <v>46276</v>
      </c>
      <c r="N99" s="5" t="s">
        <v>23</v>
      </c>
      <c r="O99" s="5" t="s">
        <v>24</v>
      </c>
      <c r="P99" s="4" t="str">
        <f t="shared" si="3"/>
        <v>COMPLETO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7">
        <v>46204</v>
      </c>
      <c r="B100" s="2" t="s">
        <v>55</v>
      </c>
      <c r="C100" s="3" t="str">
        <f>IFERROR(VLOOKUP(B100,Referência!$A$5:$I$16,2,FALSE),"")</f>
        <v>Critérios identificados nos RN classificados como de risco</v>
      </c>
      <c r="D100" s="2" t="s">
        <v>19</v>
      </c>
      <c r="E100" s="2" t="s">
        <v>60</v>
      </c>
      <c r="F100" s="13">
        <v>1</v>
      </c>
      <c r="G100" s="15"/>
      <c r="H100" s="15"/>
      <c r="I100" s="14">
        <f t="shared" si="2"/>
        <v>1</v>
      </c>
      <c r="J100" s="4" t="str">
        <f>IFERROR(VLOOKUP(B100,Referência!$A$5:$I$16,9,FALSE),"")</f>
        <v>quantidade</v>
      </c>
      <c r="K100" s="6" t="s">
        <v>57</v>
      </c>
      <c r="L100" s="5" t="s">
        <v>58</v>
      </c>
      <c r="M100" s="8">
        <v>46276</v>
      </c>
      <c r="N100" s="5" t="s">
        <v>23</v>
      </c>
      <c r="O100" s="5" t="s">
        <v>24</v>
      </c>
      <c r="P100" s="4" t="str">
        <f t="shared" si="3"/>
        <v>COMPLETO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7">
        <v>46204</v>
      </c>
      <c r="B101" s="2" t="s">
        <v>55</v>
      </c>
      <c r="C101" s="3" t="str">
        <f>IFERROR(VLOOKUP(B101,Referência!$A$5:$I$16,2,FALSE),"")</f>
        <v>Critérios identificados nos RN classificados como de risco</v>
      </c>
      <c r="D101" s="2" t="s">
        <v>19</v>
      </c>
      <c r="E101" s="2" t="s">
        <v>61</v>
      </c>
      <c r="F101" s="13">
        <v>1</v>
      </c>
      <c r="G101" s="15"/>
      <c r="H101" s="15"/>
      <c r="I101" s="14">
        <f t="shared" si="2"/>
        <v>1</v>
      </c>
      <c r="J101" s="4" t="str">
        <f>IFERROR(VLOOKUP(B101,Referência!$A$5:$I$16,9,FALSE),"")</f>
        <v>quantidade</v>
      </c>
      <c r="K101" s="6" t="s">
        <v>57</v>
      </c>
      <c r="L101" s="5" t="s">
        <v>58</v>
      </c>
      <c r="M101" s="8">
        <v>46276</v>
      </c>
      <c r="N101" s="5" t="s">
        <v>23</v>
      </c>
      <c r="O101" s="5" t="s">
        <v>24</v>
      </c>
      <c r="P101" s="4" t="str">
        <f t="shared" si="3"/>
        <v>COMPLETO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7">
        <v>46204</v>
      </c>
      <c r="B102" s="2" t="s">
        <v>55</v>
      </c>
      <c r="C102" s="3" t="str">
        <f>IFERROR(VLOOKUP(B102,Referência!$A$5:$I$16,2,FALSE),"")</f>
        <v>Critérios identificados nos RN classificados como de risco</v>
      </c>
      <c r="D102" s="2" t="s">
        <v>19</v>
      </c>
      <c r="E102" s="2" t="s">
        <v>62</v>
      </c>
      <c r="F102" s="13">
        <v>5</v>
      </c>
      <c r="G102" s="15"/>
      <c r="H102" s="15"/>
      <c r="I102" s="14">
        <f t="shared" si="2"/>
        <v>5</v>
      </c>
      <c r="J102" s="4" t="str">
        <f>IFERROR(VLOOKUP(B102,Referência!$A$5:$I$16,9,FALSE),"")</f>
        <v>quantidade</v>
      </c>
      <c r="K102" s="6" t="s">
        <v>57</v>
      </c>
      <c r="L102" s="5" t="s">
        <v>58</v>
      </c>
      <c r="M102" s="8">
        <v>46276</v>
      </c>
      <c r="N102" s="5" t="s">
        <v>23</v>
      </c>
      <c r="O102" s="5" t="s">
        <v>24</v>
      </c>
      <c r="P102" s="4" t="str">
        <f t="shared" si="3"/>
        <v>COMPLETO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7">
        <v>46204</v>
      </c>
      <c r="B103" s="2" t="s">
        <v>55</v>
      </c>
      <c r="C103" s="3" t="str">
        <f>IFERROR(VLOOKUP(B103,Referência!$A$5:$I$16,2,FALSE),"")</f>
        <v>Critérios identificados nos RN classificados como de risco</v>
      </c>
      <c r="D103" s="2" t="s">
        <v>19</v>
      </c>
      <c r="E103" s="2" t="s">
        <v>63</v>
      </c>
      <c r="F103" s="13">
        <v>4</v>
      </c>
      <c r="G103" s="15"/>
      <c r="H103" s="15"/>
      <c r="I103" s="14">
        <f t="shared" si="2"/>
        <v>4</v>
      </c>
      <c r="J103" s="4" t="str">
        <f>IFERROR(VLOOKUP(B103,Referência!$A$5:$I$16,9,FALSE),"")</f>
        <v>quantidade</v>
      </c>
      <c r="K103" s="6" t="s">
        <v>57</v>
      </c>
      <c r="L103" s="5" t="s">
        <v>58</v>
      </c>
      <c r="M103" s="8">
        <v>46276</v>
      </c>
      <c r="N103" s="5" t="s">
        <v>23</v>
      </c>
      <c r="O103" s="5" t="s">
        <v>24</v>
      </c>
      <c r="P103" s="4" t="str">
        <f t="shared" si="3"/>
        <v>COMPLETO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7">
        <v>46204</v>
      </c>
      <c r="B104" s="2" t="s">
        <v>55</v>
      </c>
      <c r="C104" s="3" t="str">
        <f>IFERROR(VLOOKUP(B104,Referência!$A$5:$I$16,2,FALSE),"")</f>
        <v>Critérios identificados nos RN classificados como de risco</v>
      </c>
      <c r="D104" s="2" t="s">
        <v>19</v>
      </c>
      <c r="E104" s="2" t="s">
        <v>64</v>
      </c>
      <c r="F104" s="13">
        <v>1</v>
      </c>
      <c r="G104" s="15"/>
      <c r="H104" s="15"/>
      <c r="I104" s="14">
        <f t="shared" si="2"/>
        <v>1</v>
      </c>
      <c r="J104" s="4" t="str">
        <f>IFERROR(VLOOKUP(B104,Referência!$A$5:$I$16,9,FALSE),"")</f>
        <v>quantidade</v>
      </c>
      <c r="K104" s="6" t="s">
        <v>57</v>
      </c>
      <c r="L104" s="5" t="s">
        <v>58</v>
      </c>
      <c r="M104" s="8">
        <v>46276</v>
      </c>
      <c r="N104" s="5" t="s">
        <v>23</v>
      </c>
      <c r="O104" s="5" t="s">
        <v>24</v>
      </c>
      <c r="P104" s="4" t="str">
        <f t="shared" si="3"/>
        <v>COMPLETO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7">
        <v>46204</v>
      </c>
      <c r="B105" s="2" t="s">
        <v>55</v>
      </c>
      <c r="C105" s="3" t="str">
        <f>IFERROR(VLOOKUP(B105,Referência!$A$5:$I$16,2,FALSE),"")</f>
        <v>Critérios identificados nos RN classificados como de risco</v>
      </c>
      <c r="D105" s="2" t="s">
        <v>19</v>
      </c>
      <c r="E105" s="2" t="s">
        <v>65</v>
      </c>
      <c r="F105" s="13">
        <v>0</v>
      </c>
      <c r="G105" s="15"/>
      <c r="H105" s="15"/>
      <c r="I105" s="14">
        <f t="shared" si="2"/>
        <v>0</v>
      </c>
      <c r="J105" s="4" t="str">
        <f>IFERROR(VLOOKUP(B105,Referência!$A$5:$I$16,9,FALSE),"")</f>
        <v>quantidade</v>
      </c>
      <c r="K105" s="6" t="s">
        <v>57</v>
      </c>
      <c r="L105" s="5" t="s">
        <v>58</v>
      </c>
      <c r="M105" s="8">
        <v>46276</v>
      </c>
      <c r="N105" s="5" t="s">
        <v>23</v>
      </c>
      <c r="O105" s="5" t="s">
        <v>24</v>
      </c>
      <c r="P105" s="4" t="str">
        <f t="shared" si="3"/>
        <v>COMPLETO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7">
        <v>46204</v>
      </c>
      <c r="B106" s="2" t="s">
        <v>55</v>
      </c>
      <c r="C106" s="3" t="str">
        <f>IFERROR(VLOOKUP(B106,Referência!$A$5:$I$16,2,FALSE),"")</f>
        <v>Critérios identificados nos RN classificados como de risco</v>
      </c>
      <c r="D106" s="2" t="s">
        <v>25</v>
      </c>
      <c r="E106" s="2" t="s">
        <v>56</v>
      </c>
      <c r="F106" s="13">
        <v>0</v>
      </c>
      <c r="G106" s="15"/>
      <c r="H106" s="15"/>
      <c r="I106" s="14">
        <f t="shared" si="2"/>
        <v>0</v>
      </c>
      <c r="J106" s="4" t="str">
        <f>IFERROR(VLOOKUP(B106,Referência!$A$5:$I$16,9,FALSE),"")</f>
        <v>quantidade</v>
      </c>
      <c r="K106" s="6" t="s">
        <v>57</v>
      </c>
      <c r="L106" s="5" t="s">
        <v>58</v>
      </c>
      <c r="M106" s="8">
        <v>46276</v>
      </c>
      <c r="N106" s="5" t="s">
        <v>23</v>
      </c>
      <c r="O106" s="5" t="s">
        <v>24</v>
      </c>
      <c r="P106" s="4" t="str">
        <f t="shared" si="3"/>
        <v>COMPLETO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7">
        <v>46204</v>
      </c>
      <c r="B107" s="2" t="s">
        <v>55</v>
      </c>
      <c r="C107" s="3" t="str">
        <f>IFERROR(VLOOKUP(B107,Referência!$A$5:$I$16,2,FALSE),"")</f>
        <v>Critérios identificados nos RN classificados como de risco</v>
      </c>
      <c r="D107" s="2" t="s">
        <v>25</v>
      </c>
      <c r="E107" s="2" t="s">
        <v>59</v>
      </c>
      <c r="F107" s="13">
        <v>4</v>
      </c>
      <c r="G107" s="15"/>
      <c r="H107" s="15"/>
      <c r="I107" s="14">
        <f t="shared" si="2"/>
        <v>4</v>
      </c>
      <c r="J107" s="4" t="str">
        <f>IFERROR(VLOOKUP(B107,Referência!$A$5:$I$16,9,FALSE),"")</f>
        <v>quantidade</v>
      </c>
      <c r="K107" s="6" t="s">
        <v>57</v>
      </c>
      <c r="L107" s="5" t="s">
        <v>58</v>
      </c>
      <c r="M107" s="8">
        <v>46276</v>
      </c>
      <c r="N107" s="5" t="s">
        <v>23</v>
      </c>
      <c r="O107" s="5" t="s">
        <v>24</v>
      </c>
      <c r="P107" s="4" t="str">
        <f t="shared" si="3"/>
        <v>COMPLETO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7">
        <v>46204</v>
      </c>
      <c r="B108" s="2" t="s">
        <v>55</v>
      </c>
      <c r="C108" s="3" t="str">
        <f>IFERROR(VLOOKUP(B108,Referência!$A$5:$I$16,2,FALSE),"")</f>
        <v>Critérios identificados nos RN classificados como de risco</v>
      </c>
      <c r="D108" s="2" t="s">
        <v>25</v>
      </c>
      <c r="E108" s="2" t="s">
        <v>60</v>
      </c>
      <c r="F108" s="13">
        <v>0</v>
      </c>
      <c r="G108" s="15"/>
      <c r="H108" s="15"/>
      <c r="I108" s="14">
        <f t="shared" si="2"/>
        <v>0</v>
      </c>
      <c r="J108" s="4" t="str">
        <f>IFERROR(VLOOKUP(B108,Referência!$A$5:$I$16,9,FALSE),"")</f>
        <v>quantidade</v>
      </c>
      <c r="K108" s="6" t="s">
        <v>57</v>
      </c>
      <c r="L108" s="5" t="s">
        <v>58</v>
      </c>
      <c r="M108" s="8">
        <v>46276</v>
      </c>
      <c r="N108" s="5" t="s">
        <v>23</v>
      </c>
      <c r="O108" s="5" t="s">
        <v>24</v>
      </c>
      <c r="P108" s="4" t="str">
        <f t="shared" si="3"/>
        <v>COMPLETO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7">
        <v>46204</v>
      </c>
      <c r="B109" s="2" t="s">
        <v>55</v>
      </c>
      <c r="C109" s="3" t="str">
        <f>IFERROR(VLOOKUP(B109,Referência!$A$5:$I$16,2,FALSE),"")</f>
        <v>Critérios identificados nos RN classificados como de risco</v>
      </c>
      <c r="D109" s="2" t="s">
        <v>25</v>
      </c>
      <c r="E109" s="2" t="s">
        <v>61</v>
      </c>
      <c r="F109" s="13">
        <v>0</v>
      </c>
      <c r="G109" s="15"/>
      <c r="H109" s="15"/>
      <c r="I109" s="14">
        <f t="shared" si="2"/>
        <v>0</v>
      </c>
      <c r="J109" s="4" t="str">
        <f>IFERROR(VLOOKUP(B109,Referência!$A$5:$I$16,9,FALSE),"")</f>
        <v>quantidade</v>
      </c>
      <c r="K109" s="6" t="s">
        <v>57</v>
      </c>
      <c r="L109" s="5" t="s">
        <v>58</v>
      </c>
      <c r="M109" s="8">
        <v>46276</v>
      </c>
      <c r="N109" s="5" t="s">
        <v>23</v>
      </c>
      <c r="O109" s="5" t="s">
        <v>24</v>
      </c>
      <c r="P109" s="4" t="str">
        <f t="shared" si="3"/>
        <v>COMPLETO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7">
        <v>46204</v>
      </c>
      <c r="B110" s="2" t="s">
        <v>55</v>
      </c>
      <c r="C110" s="3" t="str">
        <f>IFERROR(VLOOKUP(B110,Referência!$A$5:$I$16,2,FALSE),"")</f>
        <v>Critérios identificados nos RN classificados como de risco</v>
      </c>
      <c r="D110" s="2" t="s">
        <v>25</v>
      </c>
      <c r="E110" s="2" t="s">
        <v>62</v>
      </c>
      <c r="F110" s="13">
        <v>1</v>
      </c>
      <c r="G110" s="15"/>
      <c r="H110" s="15"/>
      <c r="I110" s="14">
        <f t="shared" si="2"/>
        <v>1</v>
      </c>
      <c r="J110" s="4" t="str">
        <f>IFERROR(VLOOKUP(B110,Referência!$A$5:$I$16,9,FALSE),"")</f>
        <v>quantidade</v>
      </c>
      <c r="K110" s="6" t="s">
        <v>57</v>
      </c>
      <c r="L110" s="5" t="s">
        <v>58</v>
      </c>
      <c r="M110" s="8">
        <v>46276</v>
      </c>
      <c r="N110" s="5" t="s">
        <v>23</v>
      </c>
      <c r="O110" s="5" t="s">
        <v>24</v>
      </c>
      <c r="P110" s="4" t="str">
        <f t="shared" si="3"/>
        <v>COMPLETO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7">
        <v>46204</v>
      </c>
      <c r="B111" s="2" t="s">
        <v>55</v>
      </c>
      <c r="C111" s="3" t="str">
        <f>IFERROR(VLOOKUP(B111,Referência!$A$5:$I$16,2,FALSE),"")</f>
        <v>Critérios identificados nos RN classificados como de risco</v>
      </c>
      <c r="D111" s="2" t="s">
        <v>25</v>
      </c>
      <c r="E111" s="2" t="s">
        <v>63</v>
      </c>
      <c r="F111" s="13">
        <v>1</v>
      </c>
      <c r="G111" s="15"/>
      <c r="H111" s="15"/>
      <c r="I111" s="14">
        <f t="shared" si="2"/>
        <v>1</v>
      </c>
      <c r="J111" s="4" t="str">
        <f>IFERROR(VLOOKUP(B111,Referência!$A$5:$I$16,9,FALSE),"")</f>
        <v>quantidade</v>
      </c>
      <c r="K111" s="6" t="s">
        <v>57</v>
      </c>
      <c r="L111" s="5" t="s">
        <v>58</v>
      </c>
      <c r="M111" s="8">
        <v>46276</v>
      </c>
      <c r="N111" s="5" t="s">
        <v>23</v>
      </c>
      <c r="O111" s="5" t="s">
        <v>24</v>
      </c>
      <c r="P111" s="4" t="str">
        <f t="shared" si="3"/>
        <v>COMPLETO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7">
        <v>46204</v>
      </c>
      <c r="B112" s="2" t="s">
        <v>55</v>
      </c>
      <c r="C112" s="3" t="str">
        <f>IFERROR(VLOOKUP(B112,Referência!$A$5:$I$16,2,FALSE),"")</f>
        <v>Critérios identificados nos RN classificados como de risco</v>
      </c>
      <c r="D112" s="2" t="s">
        <v>25</v>
      </c>
      <c r="E112" s="2" t="s">
        <v>64</v>
      </c>
      <c r="F112" s="13">
        <v>3</v>
      </c>
      <c r="G112" s="15"/>
      <c r="H112" s="15"/>
      <c r="I112" s="14">
        <f t="shared" si="2"/>
        <v>3</v>
      </c>
      <c r="J112" s="4" t="str">
        <f>IFERROR(VLOOKUP(B112,Referência!$A$5:$I$16,9,FALSE),"")</f>
        <v>quantidade</v>
      </c>
      <c r="K112" s="6" t="s">
        <v>57</v>
      </c>
      <c r="L112" s="5" t="s">
        <v>58</v>
      </c>
      <c r="M112" s="8">
        <v>46276</v>
      </c>
      <c r="N112" s="5" t="s">
        <v>23</v>
      </c>
      <c r="O112" s="5" t="s">
        <v>24</v>
      </c>
      <c r="P112" s="4" t="str">
        <f t="shared" si="3"/>
        <v>COMPLETO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7">
        <v>46204</v>
      </c>
      <c r="B113" s="2" t="s">
        <v>55</v>
      </c>
      <c r="C113" s="3" t="str">
        <f>IFERROR(VLOOKUP(B113,Referência!$A$5:$I$16,2,FALSE),"")</f>
        <v>Critérios identificados nos RN classificados como de risco</v>
      </c>
      <c r="D113" s="2" t="s">
        <v>25</v>
      </c>
      <c r="E113" s="2" t="s">
        <v>65</v>
      </c>
      <c r="F113" s="13">
        <v>1</v>
      </c>
      <c r="G113" s="15"/>
      <c r="H113" s="15"/>
      <c r="I113" s="14">
        <f t="shared" si="2"/>
        <v>1</v>
      </c>
      <c r="J113" s="4" t="str">
        <f>IFERROR(VLOOKUP(B113,Referência!$A$5:$I$16,9,FALSE),"")</f>
        <v>quantidade</v>
      </c>
      <c r="K113" s="6" t="s">
        <v>57</v>
      </c>
      <c r="L113" s="5" t="s">
        <v>58</v>
      </c>
      <c r="M113" s="8">
        <v>46276</v>
      </c>
      <c r="N113" s="5" t="s">
        <v>23</v>
      </c>
      <c r="O113" s="5" t="s">
        <v>24</v>
      </c>
      <c r="P113" s="4" t="str">
        <f t="shared" si="3"/>
        <v>COMPLETO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7">
        <v>46235</v>
      </c>
      <c r="B114" s="2" t="s">
        <v>55</v>
      </c>
      <c r="C114" s="3" t="str">
        <f>IFERROR(VLOOKUP(B114,Referência!$A$5:$I$16,2,FALSE),"")</f>
        <v>Critérios identificados nos RN classificados como de risco</v>
      </c>
      <c r="D114" s="2" t="s">
        <v>19</v>
      </c>
      <c r="E114" s="2" t="s">
        <v>56</v>
      </c>
      <c r="F114" s="13">
        <v>0</v>
      </c>
      <c r="G114" s="15"/>
      <c r="H114" s="15"/>
      <c r="I114" s="14">
        <f t="shared" si="2"/>
        <v>0</v>
      </c>
      <c r="J114" s="4" t="str">
        <f>IFERROR(VLOOKUP(B114,Referência!$A$5:$I$16,9,FALSE),"")</f>
        <v>quantidade</v>
      </c>
      <c r="K114" s="6" t="s">
        <v>57</v>
      </c>
      <c r="L114" s="5" t="s">
        <v>58</v>
      </c>
      <c r="M114" s="8">
        <v>46276</v>
      </c>
      <c r="N114" s="5" t="s">
        <v>23</v>
      </c>
      <c r="O114" s="5" t="s">
        <v>24</v>
      </c>
      <c r="P114" s="4" t="str">
        <f t="shared" si="3"/>
        <v>COMPLETO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7">
        <v>46235</v>
      </c>
      <c r="B115" s="2" t="s">
        <v>55</v>
      </c>
      <c r="C115" s="3" t="str">
        <f>IFERROR(VLOOKUP(B115,Referência!$A$5:$I$16,2,FALSE),"")</f>
        <v>Critérios identificados nos RN classificados como de risco</v>
      </c>
      <c r="D115" s="2" t="s">
        <v>19</v>
      </c>
      <c r="E115" s="2" t="s">
        <v>59</v>
      </c>
      <c r="F115" s="13">
        <v>6</v>
      </c>
      <c r="G115" s="15"/>
      <c r="H115" s="15"/>
      <c r="I115" s="14">
        <f t="shared" si="2"/>
        <v>6</v>
      </c>
      <c r="J115" s="4" t="str">
        <f>IFERROR(VLOOKUP(B115,Referência!$A$5:$I$16,9,FALSE),"")</f>
        <v>quantidade</v>
      </c>
      <c r="K115" s="6" t="s">
        <v>57</v>
      </c>
      <c r="L115" s="5" t="s">
        <v>58</v>
      </c>
      <c r="M115" s="8">
        <v>46276</v>
      </c>
      <c r="N115" s="5" t="s">
        <v>23</v>
      </c>
      <c r="O115" s="5" t="s">
        <v>24</v>
      </c>
      <c r="P115" s="4" t="str">
        <f t="shared" si="3"/>
        <v>COMPLETO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7">
        <v>46235</v>
      </c>
      <c r="B116" s="2" t="s">
        <v>55</v>
      </c>
      <c r="C116" s="3" t="str">
        <f>IFERROR(VLOOKUP(B116,Referência!$A$5:$I$16,2,FALSE),"")</f>
        <v>Critérios identificados nos RN classificados como de risco</v>
      </c>
      <c r="D116" s="2" t="s">
        <v>19</v>
      </c>
      <c r="E116" s="2" t="s">
        <v>60</v>
      </c>
      <c r="F116" s="13">
        <v>0</v>
      </c>
      <c r="G116" s="15"/>
      <c r="H116" s="15"/>
      <c r="I116" s="14">
        <f t="shared" si="2"/>
        <v>0</v>
      </c>
      <c r="J116" s="4" t="str">
        <f>IFERROR(VLOOKUP(B116,Referência!$A$5:$I$16,9,FALSE),"")</f>
        <v>quantidade</v>
      </c>
      <c r="K116" s="6" t="s">
        <v>57</v>
      </c>
      <c r="L116" s="5" t="s">
        <v>58</v>
      </c>
      <c r="M116" s="8">
        <v>46276</v>
      </c>
      <c r="N116" s="5" t="s">
        <v>23</v>
      </c>
      <c r="O116" s="5" t="s">
        <v>24</v>
      </c>
      <c r="P116" s="4" t="str">
        <f t="shared" si="3"/>
        <v>COMPLETO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7">
        <v>46235</v>
      </c>
      <c r="B117" s="2" t="s">
        <v>55</v>
      </c>
      <c r="C117" s="3" t="str">
        <f>IFERROR(VLOOKUP(B117,Referência!$A$5:$I$16,2,FALSE),"")</f>
        <v>Critérios identificados nos RN classificados como de risco</v>
      </c>
      <c r="D117" s="2" t="s">
        <v>19</v>
      </c>
      <c r="E117" s="2" t="s">
        <v>61</v>
      </c>
      <c r="F117" s="13">
        <v>3</v>
      </c>
      <c r="G117" s="15"/>
      <c r="H117" s="15"/>
      <c r="I117" s="14">
        <f t="shared" si="2"/>
        <v>3</v>
      </c>
      <c r="J117" s="4" t="str">
        <f>IFERROR(VLOOKUP(B117,Referência!$A$5:$I$16,9,FALSE),"")</f>
        <v>quantidade</v>
      </c>
      <c r="K117" s="6" t="s">
        <v>57</v>
      </c>
      <c r="L117" s="5" t="s">
        <v>58</v>
      </c>
      <c r="M117" s="8">
        <v>46276</v>
      </c>
      <c r="N117" s="5" t="s">
        <v>23</v>
      </c>
      <c r="O117" s="5" t="s">
        <v>24</v>
      </c>
      <c r="P117" s="4" t="str">
        <f t="shared" si="3"/>
        <v>COMPLETO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7">
        <v>46235</v>
      </c>
      <c r="B118" s="2" t="s">
        <v>55</v>
      </c>
      <c r="C118" s="3" t="str">
        <f>IFERROR(VLOOKUP(B118,Referência!$A$5:$I$16,2,FALSE),"")</f>
        <v>Critérios identificados nos RN classificados como de risco</v>
      </c>
      <c r="D118" s="2" t="s">
        <v>19</v>
      </c>
      <c r="E118" s="2" t="s">
        <v>62</v>
      </c>
      <c r="F118" s="13">
        <v>6</v>
      </c>
      <c r="G118" s="15"/>
      <c r="H118" s="15"/>
      <c r="I118" s="14">
        <f t="shared" si="2"/>
        <v>6</v>
      </c>
      <c r="J118" s="4" t="str">
        <f>IFERROR(VLOOKUP(B118,Referência!$A$5:$I$16,9,FALSE),"")</f>
        <v>quantidade</v>
      </c>
      <c r="K118" s="6" t="s">
        <v>57</v>
      </c>
      <c r="L118" s="5" t="s">
        <v>58</v>
      </c>
      <c r="M118" s="8">
        <v>46276</v>
      </c>
      <c r="N118" s="5" t="s">
        <v>23</v>
      </c>
      <c r="O118" s="5" t="s">
        <v>24</v>
      </c>
      <c r="P118" s="4" t="str">
        <f t="shared" si="3"/>
        <v>COMPLETO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7">
        <v>46235</v>
      </c>
      <c r="B119" s="2" t="s">
        <v>55</v>
      </c>
      <c r="C119" s="3" t="str">
        <f>IFERROR(VLOOKUP(B119,Referência!$A$5:$I$16,2,FALSE),"")</f>
        <v>Critérios identificados nos RN classificados como de risco</v>
      </c>
      <c r="D119" s="2" t="s">
        <v>19</v>
      </c>
      <c r="E119" s="2" t="s">
        <v>63</v>
      </c>
      <c r="F119" s="13">
        <v>5</v>
      </c>
      <c r="G119" s="15"/>
      <c r="H119" s="15"/>
      <c r="I119" s="14">
        <f t="shared" si="2"/>
        <v>5</v>
      </c>
      <c r="J119" s="4" t="str">
        <f>IFERROR(VLOOKUP(B119,Referência!$A$5:$I$16,9,FALSE),"")</f>
        <v>quantidade</v>
      </c>
      <c r="K119" s="6" t="s">
        <v>57</v>
      </c>
      <c r="L119" s="5" t="s">
        <v>58</v>
      </c>
      <c r="M119" s="8">
        <v>46276</v>
      </c>
      <c r="N119" s="5" t="s">
        <v>23</v>
      </c>
      <c r="O119" s="5" t="s">
        <v>24</v>
      </c>
      <c r="P119" s="4" t="str">
        <f t="shared" si="3"/>
        <v>COMPLETO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7">
        <v>46235</v>
      </c>
      <c r="B120" s="2" t="s">
        <v>55</v>
      </c>
      <c r="C120" s="3" t="str">
        <f>IFERROR(VLOOKUP(B120,Referência!$A$5:$I$16,2,FALSE),"")</f>
        <v>Critérios identificados nos RN classificados como de risco</v>
      </c>
      <c r="D120" s="2" t="s">
        <v>19</v>
      </c>
      <c r="E120" s="2" t="s">
        <v>64</v>
      </c>
      <c r="F120" s="13">
        <v>0</v>
      </c>
      <c r="G120" s="15"/>
      <c r="H120" s="15"/>
      <c r="I120" s="14">
        <f t="shared" si="2"/>
        <v>0</v>
      </c>
      <c r="J120" s="4" t="str">
        <f>IFERROR(VLOOKUP(B120,Referência!$A$5:$I$16,9,FALSE),"")</f>
        <v>quantidade</v>
      </c>
      <c r="K120" s="6" t="s">
        <v>57</v>
      </c>
      <c r="L120" s="5" t="s">
        <v>58</v>
      </c>
      <c r="M120" s="8">
        <v>46276</v>
      </c>
      <c r="N120" s="5" t="s">
        <v>23</v>
      </c>
      <c r="O120" s="5" t="s">
        <v>24</v>
      </c>
      <c r="P120" s="4" t="str">
        <f t="shared" si="3"/>
        <v>COMPLETO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7">
        <v>46235</v>
      </c>
      <c r="B121" s="2" t="s">
        <v>55</v>
      </c>
      <c r="C121" s="3" t="str">
        <f>IFERROR(VLOOKUP(B121,Referência!$A$5:$I$16,2,FALSE),"")</f>
        <v>Critérios identificados nos RN classificados como de risco</v>
      </c>
      <c r="D121" s="2" t="s">
        <v>19</v>
      </c>
      <c r="E121" s="2" t="s">
        <v>65</v>
      </c>
      <c r="F121" s="13">
        <v>0</v>
      </c>
      <c r="G121" s="15"/>
      <c r="H121" s="15"/>
      <c r="I121" s="14">
        <f t="shared" si="2"/>
        <v>0</v>
      </c>
      <c r="J121" s="4" t="str">
        <f>IFERROR(VLOOKUP(B121,Referência!$A$5:$I$16,9,FALSE),"")</f>
        <v>quantidade</v>
      </c>
      <c r="K121" s="6" t="s">
        <v>57</v>
      </c>
      <c r="L121" s="5" t="s">
        <v>58</v>
      </c>
      <c r="M121" s="8">
        <v>46276</v>
      </c>
      <c r="N121" s="5" t="s">
        <v>23</v>
      </c>
      <c r="O121" s="5" t="s">
        <v>24</v>
      </c>
      <c r="P121" s="4" t="str">
        <f t="shared" si="3"/>
        <v>COMPLETO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7">
        <v>46235</v>
      </c>
      <c r="B122" s="2" t="s">
        <v>55</v>
      </c>
      <c r="C122" s="3" t="str">
        <f>IFERROR(VLOOKUP(B122,Referência!$A$5:$I$16,2,FALSE),"")</f>
        <v>Critérios identificados nos RN classificados como de risco</v>
      </c>
      <c r="D122" s="2" t="s">
        <v>25</v>
      </c>
      <c r="E122" s="2" t="s">
        <v>56</v>
      </c>
      <c r="F122" s="13">
        <v>0</v>
      </c>
      <c r="G122" s="15"/>
      <c r="H122" s="15"/>
      <c r="I122" s="14">
        <f t="shared" si="2"/>
        <v>0</v>
      </c>
      <c r="J122" s="4" t="str">
        <f>IFERROR(VLOOKUP(B122,Referência!$A$5:$I$16,9,FALSE),"")</f>
        <v>quantidade</v>
      </c>
      <c r="K122" s="6" t="s">
        <v>57</v>
      </c>
      <c r="L122" s="5" t="s">
        <v>58</v>
      </c>
      <c r="M122" s="8">
        <v>46276</v>
      </c>
      <c r="N122" s="5" t="s">
        <v>23</v>
      </c>
      <c r="O122" s="5" t="s">
        <v>24</v>
      </c>
      <c r="P122" s="4" t="str">
        <f t="shared" si="3"/>
        <v>COMPLETO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7">
        <v>46235</v>
      </c>
      <c r="B123" s="2" t="s">
        <v>55</v>
      </c>
      <c r="C123" s="3" t="str">
        <f>IFERROR(VLOOKUP(B123,Referência!$A$5:$I$16,2,FALSE),"")</f>
        <v>Critérios identificados nos RN classificados como de risco</v>
      </c>
      <c r="D123" s="2" t="s">
        <v>25</v>
      </c>
      <c r="E123" s="2" t="s">
        <v>59</v>
      </c>
      <c r="F123" s="13">
        <v>4</v>
      </c>
      <c r="G123" s="15"/>
      <c r="H123" s="15"/>
      <c r="I123" s="14">
        <f t="shared" si="2"/>
        <v>4</v>
      </c>
      <c r="J123" s="4" t="str">
        <f>IFERROR(VLOOKUP(B123,Referência!$A$5:$I$16,9,FALSE),"")</f>
        <v>quantidade</v>
      </c>
      <c r="K123" s="6" t="s">
        <v>57</v>
      </c>
      <c r="L123" s="5" t="s">
        <v>58</v>
      </c>
      <c r="M123" s="8">
        <v>46276</v>
      </c>
      <c r="N123" s="5" t="s">
        <v>23</v>
      </c>
      <c r="O123" s="5" t="s">
        <v>24</v>
      </c>
      <c r="P123" s="4" t="str">
        <f t="shared" si="3"/>
        <v>COMPLETO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7">
        <v>46235</v>
      </c>
      <c r="B124" s="2" t="s">
        <v>55</v>
      </c>
      <c r="C124" s="3" t="str">
        <f>IFERROR(VLOOKUP(B124,Referência!$A$5:$I$16,2,FALSE),"")</f>
        <v>Critérios identificados nos RN classificados como de risco</v>
      </c>
      <c r="D124" s="2" t="s">
        <v>25</v>
      </c>
      <c r="E124" s="2" t="s">
        <v>60</v>
      </c>
      <c r="F124" s="13">
        <v>0</v>
      </c>
      <c r="G124" s="15"/>
      <c r="H124" s="15"/>
      <c r="I124" s="14">
        <f t="shared" si="2"/>
        <v>0</v>
      </c>
      <c r="J124" s="4" t="str">
        <f>IFERROR(VLOOKUP(B124,Referência!$A$5:$I$16,9,FALSE),"")</f>
        <v>quantidade</v>
      </c>
      <c r="K124" s="6" t="s">
        <v>57</v>
      </c>
      <c r="L124" s="5" t="s">
        <v>58</v>
      </c>
      <c r="M124" s="8">
        <v>46276</v>
      </c>
      <c r="N124" s="5" t="s">
        <v>23</v>
      </c>
      <c r="O124" s="5" t="s">
        <v>24</v>
      </c>
      <c r="P124" s="4" t="str">
        <f t="shared" si="3"/>
        <v>COMPLETO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7">
        <v>46235</v>
      </c>
      <c r="B125" s="2" t="s">
        <v>55</v>
      </c>
      <c r="C125" s="3" t="str">
        <f>IFERROR(VLOOKUP(B125,Referência!$A$5:$I$16,2,FALSE),"")</f>
        <v>Critérios identificados nos RN classificados como de risco</v>
      </c>
      <c r="D125" s="2" t="s">
        <v>25</v>
      </c>
      <c r="E125" s="2" t="s">
        <v>61</v>
      </c>
      <c r="F125" s="13">
        <v>1</v>
      </c>
      <c r="G125" s="15"/>
      <c r="H125" s="15"/>
      <c r="I125" s="14">
        <f t="shared" si="2"/>
        <v>1</v>
      </c>
      <c r="J125" s="4" t="str">
        <f>IFERROR(VLOOKUP(B125,Referência!$A$5:$I$16,9,FALSE),"")</f>
        <v>quantidade</v>
      </c>
      <c r="K125" s="6" t="s">
        <v>57</v>
      </c>
      <c r="L125" s="5" t="s">
        <v>58</v>
      </c>
      <c r="M125" s="8">
        <v>46276</v>
      </c>
      <c r="N125" s="5" t="s">
        <v>23</v>
      </c>
      <c r="O125" s="5" t="s">
        <v>24</v>
      </c>
      <c r="P125" s="4" t="str">
        <f t="shared" si="3"/>
        <v>COMPLETO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7">
        <v>46235</v>
      </c>
      <c r="B126" s="2" t="s">
        <v>55</v>
      </c>
      <c r="C126" s="3" t="str">
        <f>IFERROR(VLOOKUP(B126,Referência!$A$5:$I$16,2,FALSE),"")</f>
        <v>Critérios identificados nos RN classificados como de risco</v>
      </c>
      <c r="D126" s="2" t="s">
        <v>25</v>
      </c>
      <c r="E126" s="2" t="s">
        <v>62</v>
      </c>
      <c r="F126" s="13">
        <v>1</v>
      </c>
      <c r="G126" s="15"/>
      <c r="H126" s="15"/>
      <c r="I126" s="14">
        <f t="shared" si="2"/>
        <v>1</v>
      </c>
      <c r="J126" s="4" t="str">
        <f>IFERROR(VLOOKUP(B126,Referência!$A$5:$I$16,9,FALSE),"")</f>
        <v>quantidade</v>
      </c>
      <c r="K126" s="6" t="s">
        <v>57</v>
      </c>
      <c r="L126" s="5" t="s">
        <v>58</v>
      </c>
      <c r="M126" s="8">
        <v>46276</v>
      </c>
      <c r="N126" s="5" t="s">
        <v>23</v>
      </c>
      <c r="O126" s="5" t="s">
        <v>24</v>
      </c>
      <c r="P126" s="4" t="str">
        <f t="shared" si="3"/>
        <v>COMPLETO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7">
        <v>46235</v>
      </c>
      <c r="B127" s="2" t="s">
        <v>55</v>
      </c>
      <c r="C127" s="3" t="str">
        <f>IFERROR(VLOOKUP(B127,Referência!$A$5:$I$16,2,FALSE),"")</f>
        <v>Critérios identificados nos RN classificados como de risco</v>
      </c>
      <c r="D127" s="2" t="s">
        <v>25</v>
      </c>
      <c r="E127" s="2" t="s">
        <v>63</v>
      </c>
      <c r="F127" s="13">
        <v>2</v>
      </c>
      <c r="G127" s="15"/>
      <c r="H127" s="15"/>
      <c r="I127" s="14">
        <f t="shared" si="2"/>
        <v>2</v>
      </c>
      <c r="J127" s="4" t="str">
        <f>IFERROR(VLOOKUP(B127,Referência!$A$5:$I$16,9,FALSE),"")</f>
        <v>quantidade</v>
      </c>
      <c r="K127" s="6" t="s">
        <v>57</v>
      </c>
      <c r="L127" s="5" t="s">
        <v>58</v>
      </c>
      <c r="M127" s="8">
        <v>46276</v>
      </c>
      <c r="N127" s="5" t="s">
        <v>23</v>
      </c>
      <c r="O127" s="5" t="s">
        <v>24</v>
      </c>
      <c r="P127" s="4" t="str">
        <f t="shared" si="3"/>
        <v>COMPLETO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7">
        <v>46235</v>
      </c>
      <c r="B128" s="2" t="s">
        <v>55</v>
      </c>
      <c r="C128" s="3" t="str">
        <f>IFERROR(VLOOKUP(B128,Referência!$A$5:$I$16,2,FALSE),"")</f>
        <v>Critérios identificados nos RN classificados como de risco</v>
      </c>
      <c r="D128" s="2" t="s">
        <v>25</v>
      </c>
      <c r="E128" s="2" t="s">
        <v>64</v>
      </c>
      <c r="F128" s="13">
        <v>0</v>
      </c>
      <c r="G128" s="15"/>
      <c r="H128" s="15"/>
      <c r="I128" s="14">
        <f t="shared" si="2"/>
        <v>0</v>
      </c>
      <c r="J128" s="4" t="str">
        <f>IFERROR(VLOOKUP(B128,Referência!$A$5:$I$16,9,FALSE),"")</f>
        <v>quantidade</v>
      </c>
      <c r="K128" s="6" t="s">
        <v>57</v>
      </c>
      <c r="L128" s="5" t="s">
        <v>58</v>
      </c>
      <c r="M128" s="8">
        <v>46276</v>
      </c>
      <c r="N128" s="5" t="s">
        <v>23</v>
      </c>
      <c r="O128" s="5" t="s">
        <v>24</v>
      </c>
      <c r="P128" s="4" t="str">
        <f t="shared" si="3"/>
        <v>COMPLETO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7">
        <v>46235</v>
      </c>
      <c r="B129" s="2" t="s">
        <v>55</v>
      </c>
      <c r="C129" s="3" t="str">
        <f>IFERROR(VLOOKUP(B129,Referência!$A$5:$I$16,2,FALSE),"")</f>
        <v>Critérios identificados nos RN classificados como de risco</v>
      </c>
      <c r="D129" s="2" t="s">
        <v>25</v>
      </c>
      <c r="E129" s="2" t="s">
        <v>65</v>
      </c>
      <c r="F129" s="13">
        <v>1</v>
      </c>
      <c r="G129" s="15"/>
      <c r="H129" s="15"/>
      <c r="I129" s="14">
        <f t="shared" si="2"/>
        <v>1</v>
      </c>
      <c r="J129" s="4" t="str">
        <f>IFERROR(VLOOKUP(B129,Referência!$A$5:$I$16,9,FALSE),"")</f>
        <v>quantidade</v>
      </c>
      <c r="K129" s="6" t="s">
        <v>57</v>
      </c>
      <c r="L129" s="5" t="s">
        <v>58</v>
      </c>
      <c r="M129" s="8">
        <v>46276</v>
      </c>
      <c r="N129" s="5" t="s">
        <v>23</v>
      </c>
      <c r="O129" s="5" t="s">
        <v>24</v>
      </c>
      <c r="P129" s="4" t="str">
        <f t="shared" si="3"/>
        <v>COMPLETO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>
      <c r="A130" s="7">
        <v>46113</v>
      </c>
      <c r="B130" s="2" t="s">
        <v>66</v>
      </c>
      <c r="C130" s="3" t="str">
        <f>IFERROR(VLOOKUP(B130,Referência!$A$5:$I$16,2,FALSE),"")</f>
        <v>Proporção de recém-nascidos de risco encaminhados ao PIPA</v>
      </c>
      <c r="D130" s="2" t="s">
        <v>19</v>
      </c>
      <c r="E130" s="2" t="s">
        <v>20</v>
      </c>
      <c r="F130" s="9">
        <v>0.28000000000000003</v>
      </c>
      <c r="G130" s="15">
        <v>5</v>
      </c>
      <c r="H130" s="15">
        <v>18</v>
      </c>
      <c r="I130" s="10">
        <f t="shared" si="2"/>
        <v>0.28000000000000003</v>
      </c>
      <c r="J130" s="4" t="str">
        <f>IFERROR(VLOOKUP(B130,Referência!$A$5:$I$16,9,FALSE),"")</f>
        <v>percentual</v>
      </c>
      <c r="K130" s="6" t="s">
        <v>67</v>
      </c>
      <c r="L130" s="5" t="s">
        <v>68</v>
      </c>
      <c r="M130" s="8">
        <v>46276</v>
      </c>
      <c r="N130" s="5" t="s">
        <v>23</v>
      </c>
      <c r="O130" s="5" t="s">
        <v>24</v>
      </c>
      <c r="P130" s="4" t="str">
        <f t="shared" si="3"/>
        <v>COMPLETO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7">
        <v>46113</v>
      </c>
      <c r="B131" s="2" t="s">
        <v>66</v>
      </c>
      <c r="C131" s="3" t="str">
        <f>IFERROR(VLOOKUP(B131,Referência!$A$5:$I$16,2,FALSE),"")</f>
        <v>Proporção de recém-nascidos de risco encaminhados ao PIPA</v>
      </c>
      <c r="D131" s="2" t="s">
        <v>25</v>
      </c>
      <c r="E131" s="2" t="s">
        <v>20</v>
      </c>
      <c r="F131" s="9">
        <v>0.27</v>
      </c>
      <c r="G131" s="15">
        <v>3</v>
      </c>
      <c r="H131" s="15">
        <v>11</v>
      </c>
      <c r="I131" s="10">
        <f t="shared" si="2"/>
        <v>0.27</v>
      </c>
      <c r="J131" s="4" t="str">
        <f>IFERROR(VLOOKUP(B131,Referência!$A$5:$I$16,9,FALSE),"")</f>
        <v>percentual</v>
      </c>
      <c r="K131" s="6" t="s">
        <v>69</v>
      </c>
      <c r="L131" s="5" t="s">
        <v>68</v>
      </c>
      <c r="M131" s="8">
        <v>46276</v>
      </c>
      <c r="N131" s="5" t="s">
        <v>23</v>
      </c>
      <c r="O131" s="5" t="s">
        <v>24</v>
      </c>
      <c r="P131" s="4" t="str">
        <f t="shared" si="3"/>
        <v>COMPLETO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>
      <c r="A132" s="7">
        <v>46143</v>
      </c>
      <c r="B132" s="2" t="s">
        <v>66</v>
      </c>
      <c r="C132" s="3" t="str">
        <f>IFERROR(VLOOKUP(B132,Referência!$A$5:$I$16,2,FALSE),"")</f>
        <v>Proporção de recém-nascidos de risco encaminhados ao PIPA</v>
      </c>
      <c r="D132" s="2" t="s">
        <v>19</v>
      </c>
      <c r="E132" s="2" t="s">
        <v>20</v>
      </c>
      <c r="F132" s="9">
        <v>0.28000000000000003</v>
      </c>
      <c r="G132" s="15">
        <v>5</v>
      </c>
      <c r="H132" s="15">
        <v>18</v>
      </c>
      <c r="I132" s="10">
        <f t="shared" si="2"/>
        <v>0.28000000000000003</v>
      </c>
      <c r="J132" s="4" t="str">
        <f>IFERROR(VLOOKUP(B132,Referência!$A$5:$I$16,9,FALSE),"")</f>
        <v>percentual</v>
      </c>
      <c r="K132" s="6" t="s">
        <v>70</v>
      </c>
      <c r="L132" s="5" t="s">
        <v>68</v>
      </c>
      <c r="M132" s="8">
        <v>46276</v>
      </c>
      <c r="N132" s="5" t="s">
        <v>23</v>
      </c>
      <c r="O132" s="5" t="s">
        <v>24</v>
      </c>
      <c r="P132" s="4" t="str">
        <f t="shared" si="3"/>
        <v>COMPLETO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7">
        <v>46143</v>
      </c>
      <c r="B133" s="2" t="s">
        <v>66</v>
      </c>
      <c r="C133" s="3" t="str">
        <f>IFERROR(VLOOKUP(B133,Referência!$A$5:$I$16,2,FALSE),"")</f>
        <v>Proporção de recém-nascidos de risco encaminhados ao PIPA</v>
      </c>
      <c r="D133" s="2" t="s">
        <v>25</v>
      </c>
      <c r="E133" s="2" t="s">
        <v>20</v>
      </c>
      <c r="F133" s="9">
        <v>0.43</v>
      </c>
      <c r="G133" s="15">
        <v>7</v>
      </c>
      <c r="H133" s="15">
        <v>16</v>
      </c>
      <c r="I133" s="10">
        <f t="shared" si="2"/>
        <v>0.43</v>
      </c>
      <c r="J133" s="4" t="str">
        <f>IFERROR(VLOOKUP(B133,Referência!$A$5:$I$16,9,FALSE),"")</f>
        <v>percentual</v>
      </c>
      <c r="K133" s="6" t="s">
        <v>71</v>
      </c>
      <c r="L133" s="5" t="s">
        <v>68</v>
      </c>
      <c r="M133" s="8">
        <v>46276</v>
      </c>
      <c r="N133" s="5" t="s">
        <v>23</v>
      </c>
      <c r="O133" s="5" t="s">
        <v>24</v>
      </c>
      <c r="P133" s="4" t="str">
        <f t="shared" si="3"/>
        <v>COMPLETO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>
      <c r="A134" s="7">
        <v>46174</v>
      </c>
      <c r="B134" s="2" t="s">
        <v>66</v>
      </c>
      <c r="C134" s="3" t="str">
        <f>IFERROR(VLOOKUP(B134,Referência!$A$5:$I$16,2,FALSE),"")</f>
        <v>Proporção de recém-nascidos de risco encaminhados ao PIPA</v>
      </c>
      <c r="D134" s="2" t="s">
        <v>19</v>
      </c>
      <c r="E134" s="2" t="s">
        <v>20</v>
      </c>
      <c r="F134" s="9">
        <v>0.23</v>
      </c>
      <c r="G134" s="15">
        <v>4</v>
      </c>
      <c r="H134" s="15">
        <v>17</v>
      </c>
      <c r="I134" s="10">
        <f t="shared" ref="I134:I197" si="4">IF(B134="","",IF(F134&lt;&gt;"",F134,IF(AND(G134&lt;&gt;"",H134&lt;&gt;""),IF(H134=0,"",G134/H134),"")))</f>
        <v>0.23</v>
      </c>
      <c r="J134" s="4" t="str">
        <f>IFERROR(VLOOKUP(B134,Referência!$A$5:$I$16,9,FALSE),"")</f>
        <v>percentual</v>
      </c>
      <c r="K134" s="6" t="s">
        <v>72</v>
      </c>
      <c r="L134" s="5" t="s">
        <v>68</v>
      </c>
      <c r="M134" s="8">
        <v>46276</v>
      </c>
      <c r="N134" s="5" t="s">
        <v>23</v>
      </c>
      <c r="O134" s="5" t="s">
        <v>24</v>
      </c>
      <c r="P134" s="4" t="str">
        <f t="shared" ref="P134:P197" si="5">IF(B134="","",IF(OR(A134="",C134="",D134="",E134="",I134="",J134="",L134="",M134="",N134="",O134=""),"INCOMPLETO","COMPLETO"))</f>
        <v>COMPLETO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>
      <c r="A135" s="7">
        <v>46174</v>
      </c>
      <c r="B135" s="2" t="s">
        <v>66</v>
      </c>
      <c r="C135" s="3" t="str">
        <f>IFERROR(VLOOKUP(B135,Referência!$A$5:$I$16,2,FALSE),"")</f>
        <v>Proporção de recém-nascidos de risco encaminhados ao PIPA</v>
      </c>
      <c r="D135" s="2" t="s">
        <v>25</v>
      </c>
      <c r="E135" s="2" t="s">
        <v>20</v>
      </c>
      <c r="F135" s="9">
        <v>0.3</v>
      </c>
      <c r="G135" s="15">
        <v>3</v>
      </c>
      <c r="H135" s="15">
        <v>10</v>
      </c>
      <c r="I135" s="10">
        <f t="shared" si="4"/>
        <v>0.3</v>
      </c>
      <c r="J135" s="4" t="str">
        <f>IFERROR(VLOOKUP(B135,Referência!$A$5:$I$16,9,FALSE),"")</f>
        <v>percentual</v>
      </c>
      <c r="K135" s="6" t="s">
        <v>73</v>
      </c>
      <c r="L135" s="5" t="s">
        <v>68</v>
      </c>
      <c r="M135" s="8">
        <v>46276</v>
      </c>
      <c r="N135" s="5" t="s">
        <v>23</v>
      </c>
      <c r="O135" s="5" t="s">
        <v>24</v>
      </c>
      <c r="P135" s="4" t="str">
        <f t="shared" si="5"/>
        <v>COMPLETO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7">
        <v>46204</v>
      </c>
      <c r="B136" s="2" t="s">
        <v>66</v>
      </c>
      <c r="C136" s="3" t="str">
        <f>IFERROR(VLOOKUP(B136,Referência!$A$5:$I$16,2,FALSE),"")</f>
        <v>Proporção de recém-nascidos de risco encaminhados ao PIPA</v>
      </c>
      <c r="D136" s="2" t="s">
        <v>19</v>
      </c>
      <c r="E136" s="2" t="s">
        <v>20</v>
      </c>
      <c r="F136" s="9">
        <v>0.215</v>
      </c>
      <c r="G136" s="15">
        <v>3</v>
      </c>
      <c r="H136" s="15">
        <v>14</v>
      </c>
      <c r="I136" s="10">
        <f t="shared" si="4"/>
        <v>0.215</v>
      </c>
      <c r="J136" s="4" t="str">
        <f>IFERROR(VLOOKUP(B136,Referência!$A$5:$I$16,9,FALSE),"")</f>
        <v>percentual</v>
      </c>
      <c r="K136" s="6" t="s">
        <v>74</v>
      </c>
      <c r="L136" s="5" t="s">
        <v>68</v>
      </c>
      <c r="M136" s="8">
        <v>46276</v>
      </c>
      <c r="N136" s="5" t="s">
        <v>23</v>
      </c>
      <c r="O136" s="5" t="s">
        <v>24</v>
      </c>
      <c r="P136" s="4" t="str">
        <f t="shared" si="5"/>
        <v>COMPLETO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7">
        <v>46204</v>
      </c>
      <c r="B137" s="2" t="s">
        <v>66</v>
      </c>
      <c r="C137" s="3" t="str">
        <f>IFERROR(VLOOKUP(B137,Referência!$A$5:$I$16,2,FALSE),"")</f>
        <v>Proporção de recém-nascidos de risco encaminhados ao PIPA</v>
      </c>
      <c r="D137" s="2" t="s">
        <v>25</v>
      </c>
      <c r="E137" s="2" t="s">
        <v>20</v>
      </c>
      <c r="F137" s="9">
        <v>0.2</v>
      </c>
      <c r="G137" s="15">
        <v>2</v>
      </c>
      <c r="H137" s="15">
        <v>10</v>
      </c>
      <c r="I137" s="10">
        <f t="shared" si="4"/>
        <v>0.2</v>
      </c>
      <c r="J137" s="4" t="str">
        <f>IFERROR(VLOOKUP(B137,Referência!$A$5:$I$16,9,FALSE),"")</f>
        <v>percentual</v>
      </c>
      <c r="K137" s="6" t="s">
        <v>75</v>
      </c>
      <c r="L137" s="5" t="s">
        <v>68</v>
      </c>
      <c r="M137" s="8">
        <v>46276</v>
      </c>
      <c r="N137" s="5" t="s">
        <v>23</v>
      </c>
      <c r="O137" s="5" t="s">
        <v>24</v>
      </c>
      <c r="P137" s="4" t="str">
        <f t="shared" si="5"/>
        <v>COMPLETO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7">
        <v>46235</v>
      </c>
      <c r="B138" s="2" t="s">
        <v>66</v>
      </c>
      <c r="C138" s="3" t="str">
        <f>IFERROR(VLOOKUP(B138,Referência!$A$5:$I$16,2,FALSE),"")</f>
        <v>Proporção de recém-nascidos de risco encaminhados ao PIPA</v>
      </c>
      <c r="D138" s="2" t="s">
        <v>19</v>
      </c>
      <c r="E138" s="2" t="s">
        <v>20</v>
      </c>
      <c r="F138" s="9">
        <v>0.4</v>
      </c>
      <c r="G138" s="15">
        <v>8</v>
      </c>
      <c r="H138" s="15">
        <v>20</v>
      </c>
      <c r="I138" s="10">
        <f t="shared" si="4"/>
        <v>0.4</v>
      </c>
      <c r="J138" s="4" t="str">
        <f>IFERROR(VLOOKUP(B138,Referência!$A$5:$I$16,9,FALSE),"")</f>
        <v>percentual</v>
      </c>
      <c r="K138" s="6" t="s">
        <v>76</v>
      </c>
      <c r="L138" s="5" t="s">
        <v>68</v>
      </c>
      <c r="M138" s="8">
        <v>46276</v>
      </c>
      <c r="N138" s="5" t="s">
        <v>23</v>
      </c>
      <c r="O138" s="5" t="s">
        <v>24</v>
      </c>
      <c r="P138" s="4" t="str">
        <f t="shared" si="5"/>
        <v>COMPLETO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7">
        <v>46235</v>
      </c>
      <c r="B139" s="2" t="s">
        <v>66</v>
      </c>
      <c r="C139" s="3" t="str">
        <f>IFERROR(VLOOKUP(B139,Referência!$A$5:$I$16,2,FALSE),"")</f>
        <v>Proporção de recém-nascidos de risco encaminhados ao PIPA</v>
      </c>
      <c r="D139" s="2" t="s">
        <v>25</v>
      </c>
      <c r="E139" s="2" t="s">
        <v>20</v>
      </c>
      <c r="F139" s="9">
        <v>0.22</v>
      </c>
      <c r="G139" s="15">
        <v>2</v>
      </c>
      <c r="H139" s="15">
        <v>9</v>
      </c>
      <c r="I139" s="10">
        <f t="shared" si="4"/>
        <v>0.22</v>
      </c>
      <c r="J139" s="4" t="str">
        <f>IFERROR(VLOOKUP(B139,Referência!$A$5:$I$16,9,FALSE),"")</f>
        <v>percentual</v>
      </c>
      <c r="K139" s="6" t="s">
        <v>77</v>
      </c>
      <c r="L139" s="5" t="s">
        <v>68</v>
      </c>
      <c r="M139" s="8">
        <v>46276</v>
      </c>
      <c r="N139" s="5" t="s">
        <v>23</v>
      </c>
      <c r="O139" s="5" t="s">
        <v>24</v>
      </c>
      <c r="P139" s="4" t="str">
        <f t="shared" si="5"/>
        <v>COMPLETO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7">
        <v>46023</v>
      </c>
      <c r="B140" s="2" t="s">
        <v>78</v>
      </c>
      <c r="C140" s="3" t="str">
        <f>IFERROR(VLOOKUP(B140,Referência!$A$5:$I$16,2,FALSE),"")</f>
        <v>Taxa de aplicação do instrumento ACCR</v>
      </c>
      <c r="D140" s="2" t="s">
        <v>19</v>
      </c>
      <c r="E140" s="2" t="s">
        <v>20</v>
      </c>
      <c r="F140" s="9">
        <v>0.91800000000000004</v>
      </c>
      <c r="G140" s="15">
        <v>828</v>
      </c>
      <c r="H140" s="15">
        <v>902</v>
      </c>
      <c r="I140" s="10">
        <f t="shared" si="4"/>
        <v>0.91800000000000004</v>
      </c>
      <c r="J140" s="4" t="str">
        <f>IFERROR(VLOOKUP(B140,Referência!$A$5:$I$16,9,FALSE),"")</f>
        <v>percentual</v>
      </c>
      <c r="K140" s="6"/>
      <c r="L140" s="5" t="s">
        <v>79</v>
      </c>
      <c r="M140" s="8">
        <v>46276</v>
      </c>
      <c r="N140" s="5" t="s">
        <v>23</v>
      </c>
      <c r="O140" s="5" t="s">
        <v>24</v>
      </c>
      <c r="P140" s="4" t="str">
        <f t="shared" si="5"/>
        <v>COMPLETO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7">
        <v>46023</v>
      </c>
      <c r="B141" s="2" t="s">
        <v>78</v>
      </c>
      <c r="C141" s="3" t="str">
        <f>IFERROR(VLOOKUP(B141,Referência!$A$5:$I$16,2,FALSE),"")</f>
        <v>Taxa de aplicação do instrumento ACCR</v>
      </c>
      <c r="D141" s="2" t="s">
        <v>25</v>
      </c>
      <c r="E141" s="2" t="s">
        <v>20</v>
      </c>
      <c r="F141" s="9">
        <v>0.90400000000000003</v>
      </c>
      <c r="G141" s="15">
        <v>612</v>
      </c>
      <c r="H141" s="15">
        <v>677</v>
      </c>
      <c r="I141" s="10">
        <f t="shared" si="4"/>
        <v>0.90400000000000003</v>
      </c>
      <c r="J141" s="4" t="str">
        <f>IFERROR(VLOOKUP(B141,Referência!$A$5:$I$16,9,FALSE),"")</f>
        <v>percentual</v>
      </c>
      <c r="K141" s="6"/>
      <c r="L141" s="5" t="s">
        <v>79</v>
      </c>
      <c r="M141" s="8">
        <v>46276</v>
      </c>
      <c r="N141" s="5" t="s">
        <v>23</v>
      </c>
      <c r="O141" s="5" t="s">
        <v>24</v>
      </c>
      <c r="P141" s="4" t="str">
        <f t="shared" si="5"/>
        <v>COMPLETO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7">
        <v>46054</v>
      </c>
      <c r="B142" s="2" t="s">
        <v>78</v>
      </c>
      <c r="C142" s="3" t="str">
        <f>IFERROR(VLOOKUP(B142,Referência!$A$5:$I$16,2,FALSE),"")</f>
        <v>Taxa de aplicação do instrumento ACCR</v>
      </c>
      <c r="D142" s="2" t="s">
        <v>19</v>
      </c>
      <c r="E142" s="2" t="s">
        <v>20</v>
      </c>
      <c r="F142" s="9">
        <v>0.90800000000000003</v>
      </c>
      <c r="G142" s="15">
        <v>849</v>
      </c>
      <c r="H142" s="15">
        <v>935</v>
      </c>
      <c r="I142" s="10">
        <f t="shared" si="4"/>
        <v>0.90800000000000003</v>
      </c>
      <c r="J142" s="4" t="str">
        <f>IFERROR(VLOOKUP(B142,Referência!$A$5:$I$16,9,FALSE),"")</f>
        <v>percentual</v>
      </c>
      <c r="K142" s="6"/>
      <c r="L142" s="5" t="s">
        <v>79</v>
      </c>
      <c r="M142" s="8">
        <v>46276</v>
      </c>
      <c r="N142" s="5" t="s">
        <v>23</v>
      </c>
      <c r="O142" s="5" t="s">
        <v>24</v>
      </c>
      <c r="P142" s="4" t="str">
        <f t="shared" si="5"/>
        <v>COMPLETO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7">
        <v>46054</v>
      </c>
      <c r="B143" s="2" t="s">
        <v>78</v>
      </c>
      <c r="C143" s="3" t="str">
        <f>IFERROR(VLOOKUP(B143,Referência!$A$5:$I$16,2,FALSE),"")</f>
        <v>Taxa de aplicação do instrumento ACCR</v>
      </c>
      <c r="D143" s="2" t="s">
        <v>25</v>
      </c>
      <c r="E143" s="2" t="s">
        <v>20</v>
      </c>
      <c r="F143" s="9">
        <v>0.93600000000000005</v>
      </c>
      <c r="G143" s="15">
        <v>658</v>
      </c>
      <c r="H143" s="15">
        <v>703</v>
      </c>
      <c r="I143" s="10">
        <f t="shared" si="4"/>
        <v>0.93600000000000005</v>
      </c>
      <c r="J143" s="4" t="str">
        <f>IFERROR(VLOOKUP(B143,Referência!$A$5:$I$16,9,FALSE),"")</f>
        <v>percentual</v>
      </c>
      <c r="K143" s="6"/>
      <c r="L143" s="5" t="s">
        <v>79</v>
      </c>
      <c r="M143" s="8">
        <v>46276</v>
      </c>
      <c r="N143" s="5" t="s">
        <v>23</v>
      </c>
      <c r="O143" s="5" t="s">
        <v>24</v>
      </c>
      <c r="P143" s="4" t="str">
        <f t="shared" si="5"/>
        <v>COMPLETO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7">
        <v>46082</v>
      </c>
      <c r="B144" s="2" t="s">
        <v>78</v>
      </c>
      <c r="C144" s="3" t="str">
        <f>IFERROR(VLOOKUP(B144,Referência!$A$5:$I$16,2,FALSE),"")</f>
        <v>Taxa de aplicação do instrumento ACCR</v>
      </c>
      <c r="D144" s="2" t="s">
        <v>19</v>
      </c>
      <c r="E144" s="2" t="s">
        <v>20</v>
      </c>
      <c r="F144" s="9">
        <v>0.90300000000000002</v>
      </c>
      <c r="G144" s="15">
        <v>819</v>
      </c>
      <c r="H144" s="15">
        <v>907</v>
      </c>
      <c r="I144" s="10">
        <f t="shared" si="4"/>
        <v>0.90300000000000002</v>
      </c>
      <c r="J144" s="4" t="str">
        <f>IFERROR(VLOOKUP(B144,Referência!$A$5:$I$16,9,FALSE),"")</f>
        <v>percentual</v>
      </c>
      <c r="K144" s="6"/>
      <c r="L144" s="5" t="s">
        <v>79</v>
      </c>
      <c r="M144" s="8">
        <v>46276</v>
      </c>
      <c r="N144" s="5" t="s">
        <v>23</v>
      </c>
      <c r="O144" s="5" t="s">
        <v>24</v>
      </c>
      <c r="P144" s="4" t="str">
        <f t="shared" si="5"/>
        <v>COMPLETO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7">
        <v>46082</v>
      </c>
      <c r="B145" s="2" t="s">
        <v>78</v>
      </c>
      <c r="C145" s="3" t="str">
        <f>IFERROR(VLOOKUP(B145,Referência!$A$5:$I$16,2,FALSE),"")</f>
        <v>Taxa de aplicação do instrumento ACCR</v>
      </c>
      <c r="D145" s="2" t="s">
        <v>25</v>
      </c>
      <c r="E145" s="2" t="s">
        <v>20</v>
      </c>
      <c r="F145" s="9">
        <v>0.89900000000000002</v>
      </c>
      <c r="G145" s="15">
        <v>623</v>
      </c>
      <c r="H145" s="15">
        <v>693</v>
      </c>
      <c r="I145" s="10">
        <f t="shared" si="4"/>
        <v>0.89900000000000002</v>
      </c>
      <c r="J145" s="4" t="str">
        <f>IFERROR(VLOOKUP(B145,Referência!$A$5:$I$16,9,FALSE),"")</f>
        <v>percentual</v>
      </c>
      <c r="K145" s="6"/>
      <c r="L145" s="5" t="s">
        <v>79</v>
      </c>
      <c r="M145" s="8">
        <v>46276</v>
      </c>
      <c r="N145" s="5" t="s">
        <v>23</v>
      </c>
      <c r="O145" s="5" t="s">
        <v>24</v>
      </c>
      <c r="P145" s="4" t="str">
        <f t="shared" si="5"/>
        <v>COMPLETO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7">
        <v>46113</v>
      </c>
      <c r="B146" s="2" t="s">
        <v>78</v>
      </c>
      <c r="C146" s="3" t="str">
        <f>IFERROR(VLOOKUP(B146,Referência!$A$5:$I$16,2,FALSE),"")</f>
        <v>Taxa de aplicação do instrumento ACCR</v>
      </c>
      <c r="D146" s="2" t="s">
        <v>19</v>
      </c>
      <c r="E146" s="2" t="s">
        <v>20</v>
      </c>
      <c r="F146" s="9">
        <v>0.96199999999999997</v>
      </c>
      <c r="G146" s="15">
        <v>912</v>
      </c>
      <c r="H146" s="15">
        <v>948</v>
      </c>
      <c r="I146" s="10">
        <f t="shared" si="4"/>
        <v>0.96199999999999997</v>
      </c>
      <c r="J146" s="4" t="str">
        <f>IFERROR(VLOOKUP(B146,Referência!$A$5:$I$16,9,FALSE),"")</f>
        <v>percentual</v>
      </c>
      <c r="K146" s="6"/>
      <c r="L146" s="5" t="s">
        <v>79</v>
      </c>
      <c r="M146" s="8">
        <v>46276</v>
      </c>
      <c r="N146" s="5" t="s">
        <v>23</v>
      </c>
      <c r="O146" s="5" t="s">
        <v>24</v>
      </c>
      <c r="P146" s="4" t="str">
        <f t="shared" si="5"/>
        <v>COMPLETO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7">
        <v>46113</v>
      </c>
      <c r="B147" s="2" t="s">
        <v>78</v>
      </c>
      <c r="C147" s="3" t="str">
        <f>IFERROR(VLOOKUP(B147,Referência!$A$5:$I$16,2,FALSE),"")</f>
        <v>Taxa de aplicação do instrumento ACCR</v>
      </c>
      <c r="D147" s="2" t="s">
        <v>25</v>
      </c>
      <c r="E147" s="2" t="s">
        <v>20</v>
      </c>
      <c r="F147" s="9">
        <v>0.94199999999999995</v>
      </c>
      <c r="G147" s="15">
        <v>682</v>
      </c>
      <c r="H147" s="15">
        <v>724</v>
      </c>
      <c r="I147" s="10">
        <f t="shared" si="4"/>
        <v>0.94199999999999995</v>
      </c>
      <c r="J147" s="4" t="str">
        <f>IFERROR(VLOOKUP(B147,Referência!$A$5:$I$16,9,FALSE),"")</f>
        <v>percentual</v>
      </c>
      <c r="K147" s="6"/>
      <c r="L147" s="5" t="s">
        <v>79</v>
      </c>
      <c r="M147" s="8">
        <v>46276</v>
      </c>
      <c r="N147" s="5" t="s">
        <v>23</v>
      </c>
      <c r="O147" s="5" t="s">
        <v>24</v>
      </c>
      <c r="P147" s="4" t="str">
        <f t="shared" si="5"/>
        <v>COMPLETO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7">
        <v>46143</v>
      </c>
      <c r="B148" s="2" t="s">
        <v>78</v>
      </c>
      <c r="C148" s="3" t="str">
        <f>IFERROR(VLOOKUP(B148,Referência!$A$5:$I$16,2,FALSE),"")</f>
        <v>Taxa de aplicação do instrumento ACCR</v>
      </c>
      <c r="D148" s="2" t="s">
        <v>19</v>
      </c>
      <c r="E148" s="2" t="s">
        <v>20</v>
      </c>
      <c r="F148" s="9">
        <v>0.95099999999999996</v>
      </c>
      <c r="G148" s="15">
        <v>893</v>
      </c>
      <c r="H148" s="15">
        <v>939</v>
      </c>
      <c r="I148" s="10">
        <f t="shared" si="4"/>
        <v>0.95099999999999996</v>
      </c>
      <c r="J148" s="4" t="str">
        <f>IFERROR(VLOOKUP(B148,Referência!$A$5:$I$16,9,FALSE),"")</f>
        <v>percentual</v>
      </c>
      <c r="K148" s="6"/>
      <c r="L148" s="5" t="s">
        <v>79</v>
      </c>
      <c r="M148" s="8">
        <v>46276</v>
      </c>
      <c r="N148" s="5" t="s">
        <v>23</v>
      </c>
      <c r="O148" s="5" t="s">
        <v>24</v>
      </c>
      <c r="P148" s="4" t="str">
        <f t="shared" si="5"/>
        <v>COMPLETO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7">
        <v>46143</v>
      </c>
      <c r="B149" s="2" t="s">
        <v>78</v>
      </c>
      <c r="C149" s="3" t="str">
        <f>IFERROR(VLOOKUP(B149,Referência!$A$5:$I$16,2,FALSE),"")</f>
        <v>Taxa de aplicação do instrumento ACCR</v>
      </c>
      <c r="D149" s="2" t="s">
        <v>25</v>
      </c>
      <c r="E149" s="2" t="s">
        <v>20</v>
      </c>
      <c r="F149" s="9">
        <v>0.88800000000000001</v>
      </c>
      <c r="G149" s="15">
        <v>634</v>
      </c>
      <c r="H149" s="15">
        <v>714</v>
      </c>
      <c r="I149" s="10">
        <f t="shared" si="4"/>
        <v>0.88800000000000001</v>
      </c>
      <c r="J149" s="4" t="str">
        <f>IFERROR(VLOOKUP(B149,Referência!$A$5:$I$16,9,FALSE),"")</f>
        <v>percentual</v>
      </c>
      <c r="K149" s="6"/>
      <c r="L149" s="5" t="s">
        <v>79</v>
      </c>
      <c r="M149" s="8">
        <v>46276</v>
      </c>
      <c r="N149" s="5" t="s">
        <v>23</v>
      </c>
      <c r="O149" s="5" t="s">
        <v>24</v>
      </c>
      <c r="P149" s="4" t="str">
        <f t="shared" si="5"/>
        <v>COMPLETO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7">
        <v>46174</v>
      </c>
      <c r="B150" s="2" t="s">
        <v>78</v>
      </c>
      <c r="C150" s="3" t="str">
        <f>IFERROR(VLOOKUP(B150,Referência!$A$5:$I$16,2,FALSE),"")</f>
        <v>Taxa de aplicação do instrumento ACCR</v>
      </c>
      <c r="D150" s="2" t="s">
        <v>19</v>
      </c>
      <c r="E150" s="2" t="s">
        <v>20</v>
      </c>
      <c r="F150" s="9">
        <v>0.96299999999999997</v>
      </c>
      <c r="G150" s="15">
        <v>936</v>
      </c>
      <c r="H150" s="15">
        <v>972</v>
      </c>
      <c r="I150" s="10">
        <f t="shared" si="4"/>
        <v>0.96299999999999997</v>
      </c>
      <c r="J150" s="4" t="str">
        <f>IFERROR(VLOOKUP(B150,Referência!$A$5:$I$16,9,FALSE),"")</f>
        <v>percentual</v>
      </c>
      <c r="K150" s="6"/>
      <c r="L150" s="5" t="s">
        <v>79</v>
      </c>
      <c r="M150" s="8">
        <v>46276</v>
      </c>
      <c r="N150" s="5" t="s">
        <v>23</v>
      </c>
      <c r="O150" s="5" t="s">
        <v>24</v>
      </c>
      <c r="P150" s="4" t="str">
        <f t="shared" si="5"/>
        <v>COMPLETO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7">
        <v>46174</v>
      </c>
      <c r="B151" s="2" t="s">
        <v>78</v>
      </c>
      <c r="C151" s="3" t="str">
        <f>IFERROR(VLOOKUP(B151,Referência!$A$5:$I$16,2,FALSE),"")</f>
        <v>Taxa de aplicação do instrumento ACCR</v>
      </c>
      <c r="D151" s="2" t="s">
        <v>25</v>
      </c>
      <c r="E151" s="2" t="s">
        <v>20</v>
      </c>
      <c r="F151" s="9">
        <v>0.95</v>
      </c>
      <c r="G151" s="15">
        <v>703</v>
      </c>
      <c r="H151" s="15">
        <v>740</v>
      </c>
      <c r="I151" s="10">
        <f t="shared" si="4"/>
        <v>0.95</v>
      </c>
      <c r="J151" s="4" t="str">
        <f>IFERROR(VLOOKUP(B151,Referência!$A$5:$I$16,9,FALSE),"")</f>
        <v>percentual</v>
      </c>
      <c r="K151" s="6"/>
      <c r="L151" s="5" t="s">
        <v>79</v>
      </c>
      <c r="M151" s="8">
        <v>46276</v>
      </c>
      <c r="N151" s="5" t="s">
        <v>23</v>
      </c>
      <c r="O151" s="5" t="s">
        <v>24</v>
      </c>
      <c r="P151" s="4" t="str">
        <f t="shared" si="5"/>
        <v>COMPLETO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7">
        <v>46204</v>
      </c>
      <c r="B152" s="2" t="s">
        <v>78</v>
      </c>
      <c r="C152" s="3" t="str">
        <f>IFERROR(VLOOKUP(B152,Referência!$A$5:$I$16,2,FALSE),"")</f>
        <v>Taxa de aplicação do instrumento ACCR</v>
      </c>
      <c r="D152" s="2" t="s">
        <v>19</v>
      </c>
      <c r="E152" s="2" t="s">
        <v>20</v>
      </c>
      <c r="F152" s="9">
        <v>0.93300000000000005</v>
      </c>
      <c r="G152" s="15">
        <v>891</v>
      </c>
      <c r="H152" s="15">
        <v>955</v>
      </c>
      <c r="I152" s="10">
        <f t="shared" si="4"/>
        <v>0.93300000000000005</v>
      </c>
      <c r="J152" s="4" t="str">
        <f>IFERROR(VLOOKUP(B152,Referência!$A$5:$I$16,9,FALSE),"")</f>
        <v>percentual</v>
      </c>
      <c r="K152" s="6"/>
      <c r="L152" s="5" t="s">
        <v>79</v>
      </c>
      <c r="M152" s="8">
        <v>46276</v>
      </c>
      <c r="N152" s="5" t="s">
        <v>23</v>
      </c>
      <c r="O152" s="5" t="s">
        <v>24</v>
      </c>
      <c r="P152" s="4" t="str">
        <f t="shared" si="5"/>
        <v>COMPLETO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7">
        <v>46204</v>
      </c>
      <c r="B153" s="2" t="s">
        <v>78</v>
      </c>
      <c r="C153" s="3" t="str">
        <f>IFERROR(VLOOKUP(B153,Referência!$A$5:$I$16,2,FALSE),"")</f>
        <v>Taxa de aplicação do instrumento ACCR</v>
      </c>
      <c r="D153" s="2" t="s">
        <v>25</v>
      </c>
      <c r="E153" s="2" t="s">
        <v>20</v>
      </c>
      <c r="F153" s="9">
        <v>0.90749999999999997</v>
      </c>
      <c r="G153" s="15">
        <v>667</v>
      </c>
      <c r="H153" s="15">
        <v>735</v>
      </c>
      <c r="I153" s="10">
        <f t="shared" si="4"/>
        <v>0.90749999999999997</v>
      </c>
      <c r="J153" s="4" t="str">
        <f>IFERROR(VLOOKUP(B153,Referência!$A$5:$I$16,9,FALSE),"")</f>
        <v>percentual</v>
      </c>
      <c r="K153" s="6"/>
      <c r="L153" s="5" t="s">
        <v>79</v>
      </c>
      <c r="M153" s="8">
        <v>46276</v>
      </c>
      <c r="N153" s="5" t="s">
        <v>23</v>
      </c>
      <c r="O153" s="5" t="s">
        <v>24</v>
      </c>
      <c r="P153" s="4" t="str">
        <f t="shared" si="5"/>
        <v>COMPLETO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7">
        <v>46235</v>
      </c>
      <c r="B154" s="2" t="s">
        <v>78</v>
      </c>
      <c r="C154" s="3" t="str">
        <f>IFERROR(VLOOKUP(B154,Referência!$A$5:$I$16,2,FALSE),"")</f>
        <v>Taxa de aplicação do instrumento ACCR</v>
      </c>
      <c r="D154" s="2" t="s">
        <v>19</v>
      </c>
      <c r="E154" s="2" t="s">
        <v>20</v>
      </c>
      <c r="F154" s="9">
        <v>0.89739999999999998</v>
      </c>
      <c r="G154" s="15">
        <v>892</v>
      </c>
      <c r="H154" s="15">
        <v>994</v>
      </c>
      <c r="I154" s="10">
        <f t="shared" si="4"/>
        <v>0.89739999999999998</v>
      </c>
      <c r="J154" s="4" t="str">
        <f>IFERROR(VLOOKUP(B154,Referência!$A$5:$I$16,9,FALSE),"")</f>
        <v>percentual</v>
      </c>
      <c r="K154" s="6"/>
      <c r="L154" s="5" t="s">
        <v>79</v>
      </c>
      <c r="M154" s="8">
        <v>46276</v>
      </c>
      <c r="N154" s="5" t="s">
        <v>23</v>
      </c>
      <c r="O154" s="5" t="s">
        <v>24</v>
      </c>
      <c r="P154" s="4" t="str">
        <f t="shared" si="5"/>
        <v>COMPLETO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7">
        <v>46235</v>
      </c>
      <c r="B155" s="2" t="s">
        <v>78</v>
      </c>
      <c r="C155" s="3" t="str">
        <f>IFERROR(VLOOKUP(B155,Referência!$A$5:$I$16,2,FALSE),"")</f>
        <v>Taxa de aplicação do instrumento ACCR</v>
      </c>
      <c r="D155" s="2" t="s">
        <v>25</v>
      </c>
      <c r="E155" s="2" t="s">
        <v>20</v>
      </c>
      <c r="F155" s="9">
        <v>0.9</v>
      </c>
      <c r="G155" s="15">
        <v>684</v>
      </c>
      <c r="H155" s="15">
        <v>760</v>
      </c>
      <c r="I155" s="10">
        <f t="shared" si="4"/>
        <v>0.9</v>
      </c>
      <c r="J155" s="4" t="str">
        <f>IFERROR(VLOOKUP(B155,Referência!$A$5:$I$16,9,FALSE),"")</f>
        <v>percentual</v>
      </c>
      <c r="K155" s="6"/>
      <c r="L155" s="5" t="s">
        <v>79</v>
      </c>
      <c r="M155" s="8">
        <v>46276</v>
      </c>
      <c r="N155" s="5" t="s">
        <v>23</v>
      </c>
      <c r="O155" s="5" t="s">
        <v>24</v>
      </c>
      <c r="P155" s="4" t="str">
        <f t="shared" si="5"/>
        <v>COMPLETO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7">
        <v>46023</v>
      </c>
      <c r="B156" s="2" t="s">
        <v>80</v>
      </c>
      <c r="C156" s="3" t="str">
        <f>IFERROR(VLOOKUP(B156,Referência!$A$5:$I$16,2,FALSE),"")</f>
        <v>Taxa de aplicação da classificação de Robson</v>
      </c>
      <c r="D156" s="2" t="s">
        <v>19</v>
      </c>
      <c r="E156" s="2" t="s">
        <v>20</v>
      </c>
      <c r="F156" s="9">
        <v>0.95</v>
      </c>
      <c r="G156" s="15">
        <v>86</v>
      </c>
      <c r="H156" s="15">
        <v>91</v>
      </c>
      <c r="I156" s="10">
        <f t="shared" si="4"/>
        <v>0.95</v>
      </c>
      <c r="J156" s="4" t="str">
        <f>IFERROR(VLOOKUP(B156,Referência!$A$5:$I$16,9,FALSE),"")</f>
        <v>percentual</v>
      </c>
      <c r="K156" s="6"/>
      <c r="L156" s="5" t="s">
        <v>81</v>
      </c>
      <c r="M156" s="8">
        <v>46276</v>
      </c>
      <c r="N156" s="5" t="s">
        <v>23</v>
      </c>
      <c r="O156" s="5" t="s">
        <v>24</v>
      </c>
      <c r="P156" s="4" t="str">
        <f t="shared" si="5"/>
        <v>COMPLETO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7">
        <v>46023</v>
      </c>
      <c r="B157" s="2" t="s">
        <v>80</v>
      </c>
      <c r="C157" s="3" t="str">
        <f>IFERROR(VLOOKUP(B157,Referência!$A$5:$I$16,2,FALSE),"")</f>
        <v>Taxa de aplicação da classificação de Robson</v>
      </c>
      <c r="D157" s="2" t="s">
        <v>25</v>
      </c>
      <c r="E157" s="2" t="s">
        <v>20</v>
      </c>
      <c r="F157" s="9">
        <v>0.19</v>
      </c>
      <c r="G157" s="15">
        <v>13</v>
      </c>
      <c r="H157" s="15">
        <v>67</v>
      </c>
      <c r="I157" s="10">
        <f t="shared" si="4"/>
        <v>0.19</v>
      </c>
      <c r="J157" s="4" t="str">
        <f>IFERROR(VLOOKUP(B157,Referência!$A$5:$I$16,9,FALSE),"")</f>
        <v>percentual</v>
      </c>
      <c r="K157" s="6" t="s">
        <v>82</v>
      </c>
      <c r="L157" s="5" t="s">
        <v>81</v>
      </c>
      <c r="M157" s="8">
        <v>46276</v>
      </c>
      <c r="N157" s="5" t="s">
        <v>23</v>
      </c>
      <c r="O157" s="5" t="s">
        <v>24</v>
      </c>
      <c r="P157" s="4" t="str">
        <f t="shared" si="5"/>
        <v>COMPLETO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7">
        <v>46054</v>
      </c>
      <c r="B158" s="2" t="s">
        <v>80</v>
      </c>
      <c r="C158" s="3" t="str">
        <f>IFERROR(VLOOKUP(B158,Referência!$A$5:$I$16,2,FALSE),"")</f>
        <v>Taxa de aplicação da classificação de Robson</v>
      </c>
      <c r="D158" s="2" t="s">
        <v>19</v>
      </c>
      <c r="E158" s="2" t="s">
        <v>20</v>
      </c>
      <c r="F158" s="9">
        <v>0.97</v>
      </c>
      <c r="G158" s="15">
        <v>65</v>
      </c>
      <c r="H158" s="15">
        <v>67</v>
      </c>
      <c r="I158" s="10">
        <f t="shared" si="4"/>
        <v>0.97</v>
      </c>
      <c r="J158" s="4" t="str">
        <f>IFERROR(VLOOKUP(B158,Referência!$A$5:$I$16,9,FALSE),"")</f>
        <v>percentual</v>
      </c>
      <c r="K158" s="6"/>
      <c r="L158" s="5" t="s">
        <v>81</v>
      </c>
      <c r="M158" s="8">
        <v>46276</v>
      </c>
      <c r="N158" s="5" t="s">
        <v>23</v>
      </c>
      <c r="O158" s="5" t="s">
        <v>24</v>
      </c>
      <c r="P158" s="4" t="str">
        <f t="shared" si="5"/>
        <v>COMPLETO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7">
        <v>46054</v>
      </c>
      <c r="B159" s="2" t="s">
        <v>80</v>
      </c>
      <c r="C159" s="3" t="str">
        <f>IFERROR(VLOOKUP(B159,Referência!$A$5:$I$16,2,FALSE),"")</f>
        <v>Taxa de aplicação da classificação de Robson</v>
      </c>
      <c r="D159" s="2" t="s">
        <v>25</v>
      </c>
      <c r="E159" s="2" t="s">
        <v>20</v>
      </c>
      <c r="F159" s="9">
        <v>0.81</v>
      </c>
      <c r="G159" s="15">
        <v>55</v>
      </c>
      <c r="H159" s="15">
        <v>68</v>
      </c>
      <c r="I159" s="10">
        <f t="shared" si="4"/>
        <v>0.81</v>
      </c>
      <c r="J159" s="4" t="str">
        <f>IFERROR(VLOOKUP(B159,Referência!$A$5:$I$16,9,FALSE),"")</f>
        <v>percentual</v>
      </c>
      <c r="K159" s="6"/>
      <c r="L159" s="5" t="s">
        <v>81</v>
      </c>
      <c r="M159" s="8">
        <v>46276</v>
      </c>
      <c r="N159" s="5" t="s">
        <v>23</v>
      </c>
      <c r="O159" s="5" t="s">
        <v>24</v>
      </c>
      <c r="P159" s="4" t="str">
        <f t="shared" si="5"/>
        <v>COMPLETO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7">
        <v>46082</v>
      </c>
      <c r="B160" s="2" t="s">
        <v>80</v>
      </c>
      <c r="C160" s="3" t="str">
        <f>IFERROR(VLOOKUP(B160,Referência!$A$5:$I$16,2,FALSE),"")</f>
        <v>Taxa de aplicação da classificação de Robson</v>
      </c>
      <c r="D160" s="2" t="s">
        <v>19</v>
      </c>
      <c r="E160" s="2" t="s">
        <v>20</v>
      </c>
      <c r="F160" s="9">
        <v>0.95</v>
      </c>
      <c r="G160" s="15">
        <v>124</v>
      </c>
      <c r="H160" s="15">
        <v>130</v>
      </c>
      <c r="I160" s="10">
        <f t="shared" si="4"/>
        <v>0.95</v>
      </c>
      <c r="J160" s="4" t="str">
        <f>IFERROR(VLOOKUP(B160,Referência!$A$5:$I$16,9,FALSE),"")</f>
        <v>percentual</v>
      </c>
      <c r="K160" s="6"/>
      <c r="L160" s="5" t="s">
        <v>81</v>
      </c>
      <c r="M160" s="8">
        <v>46276</v>
      </c>
      <c r="N160" s="5" t="s">
        <v>23</v>
      </c>
      <c r="O160" s="5" t="s">
        <v>24</v>
      </c>
      <c r="P160" s="4" t="str">
        <f t="shared" si="5"/>
        <v>COMPLETO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7">
        <v>46082</v>
      </c>
      <c r="B161" s="2" t="s">
        <v>80</v>
      </c>
      <c r="C161" s="3" t="str">
        <f>IFERROR(VLOOKUP(B161,Referência!$A$5:$I$16,2,FALSE),"")</f>
        <v>Taxa de aplicação da classificação de Robson</v>
      </c>
      <c r="D161" s="2" t="s">
        <v>25</v>
      </c>
      <c r="E161" s="2" t="s">
        <v>20</v>
      </c>
      <c r="F161" s="9">
        <v>0.45</v>
      </c>
      <c r="G161" s="15">
        <v>39</v>
      </c>
      <c r="H161" s="15">
        <v>86</v>
      </c>
      <c r="I161" s="10">
        <f t="shared" si="4"/>
        <v>0.45</v>
      </c>
      <c r="J161" s="4" t="str">
        <f>IFERROR(VLOOKUP(B161,Referência!$A$5:$I$16,9,FALSE),"")</f>
        <v>percentual</v>
      </c>
      <c r="K161" s="6" t="s">
        <v>83</v>
      </c>
      <c r="L161" s="5" t="s">
        <v>81</v>
      </c>
      <c r="M161" s="8">
        <v>46276</v>
      </c>
      <c r="N161" s="5" t="s">
        <v>23</v>
      </c>
      <c r="O161" s="5" t="s">
        <v>24</v>
      </c>
      <c r="P161" s="4" t="str">
        <f t="shared" si="5"/>
        <v>COMPLETO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7">
        <v>46113</v>
      </c>
      <c r="B162" s="2" t="s">
        <v>80</v>
      </c>
      <c r="C162" s="3" t="str">
        <f>IFERROR(VLOOKUP(B162,Referência!$A$5:$I$16,2,FALSE),"")</f>
        <v>Taxa de aplicação da classificação de Robson</v>
      </c>
      <c r="D162" s="2" t="s">
        <v>19</v>
      </c>
      <c r="E162" s="2" t="s">
        <v>20</v>
      </c>
      <c r="F162" s="9">
        <v>0.98</v>
      </c>
      <c r="G162" s="15">
        <v>93</v>
      </c>
      <c r="H162" s="15">
        <v>95</v>
      </c>
      <c r="I162" s="10">
        <f t="shared" si="4"/>
        <v>0.98</v>
      </c>
      <c r="J162" s="4" t="str">
        <f>IFERROR(VLOOKUP(B162,Referência!$A$5:$I$16,9,FALSE),"")</f>
        <v>percentual</v>
      </c>
      <c r="K162" s="6"/>
      <c r="L162" s="5" t="s">
        <v>81</v>
      </c>
      <c r="M162" s="8">
        <v>46276</v>
      </c>
      <c r="N162" s="5" t="s">
        <v>23</v>
      </c>
      <c r="O162" s="5" t="s">
        <v>24</v>
      </c>
      <c r="P162" s="4" t="str">
        <f t="shared" si="5"/>
        <v>COMPLETO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7">
        <v>46113</v>
      </c>
      <c r="B163" s="2" t="s">
        <v>80</v>
      </c>
      <c r="C163" s="3" t="str">
        <f>IFERROR(VLOOKUP(B163,Referência!$A$5:$I$16,2,FALSE),"")</f>
        <v>Taxa de aplicação da classificação de Robson</v>
      </c>
      <c r="D163" s="2" t="s">
        <v>25</v>
      </c>
      <c r="E163" s="2" t="s">
        <v>20</v>
      </c>
      <c r="F163" s="9">
        <v>0.87</v>
      </c>
      <c r="G163" s="15">
        <v>48</v>
      </c>
      <c r="H163" s="15">
        <v>55</v>
      </c>
      <c r="I163" s="10">
        <f t="shared" si="4"/>
        <v>0.87</v>
      </c>
      <c r="J163" s="4" t="str">
        <f>IFERROR(VLOOKUP(B163,Referência!$A$5:$I$16,9,FALSE),"")</f>
        <v>percentual</v>
      </c>
      <c r="K163" s="6"/>
      <c r="L163" s="5" t="s">
        <v>81</v>
      </c>
      <c r="M163" s="8">
        <v>46276</v>
      </c>
      <c r="N163" s="5" t="s">
        <v>23</v>
      </c>
      <c r="O163" s="5" t="s">
        <v>24</v>
      </c>
      <c r="P163" s="4" t="str">
        <f t="shared" si="5"/>
        <v>COMPLETO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7">
        <v>46143</v>
      </c>
      <c r="B164" s="2" t="s">
        <v>80</v>
      </c>
      <c r="C164" s="3" t="str">
        <f>IFERROR(VLOOKUP(B164,Referência!$A$5:$I$16,2,FALSE),"")</f>
        <v>Taxa de aplicação da classificação de Robson</v>
      </c>
      <c r="D164" s="2" t="s">
        <v>19</v>
      </c>
      <c r="E164" s="2" t="s">
        <v>20</v>
      </c>
      <c r="F164" s="9">
        <v>0.95</v>
      </c>
      <c r="G164" s="15">
        <v>83</v>
      </c>
      <c r="H164" s="15">
        <v>87</v>
      </c>
      <c r="I164" s="10">
        <f t="shared" si="4"/>
        <v>0.95</v>
      </c>
      <c r="J164" s="4" t="str">
        <f>IFERROR(VLOOKUP(B164,Referência!$A$5:$I$16,9,FALSE),"")</f>
        <v>percentual</v>
      </c>
      <c r="K164" s="6"/>
      <c r="L164" s="5" t="s">
        <v>81</v>
      </c>
      <c r="M164" s="8">
        <v>46276</v>
      </c>
      <c r="N164" s="5" t="s">
        <v>23</v>
      </c>
      <c r="O164" s="5" t="s">
        <v>24</v>
      </c>
      <c r="P164" s="4" t="str">
        <f t="shared" si="5"/>
        <v>COMPLETO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7">
        <v>46143</v>
      </c>
      <c r="B165" s="2" t="s">
        <v>80</v>
      </c>
      <c r="C165" s="3" t="str">
        <f>IFERROR(VLOOKUP(B165,Referência!$A$5:$I$16,2,FALSE),"")</f>
        <v>Taxa de aplicação da classificação de Robson</v>
      </c>
      <c r="D165" s="2" t="s">
        <v>25</v>
      </c>
      <c r="E165" s="2" t="s">
        <v>20</v>
      </c>
      <c r="F165" s="9">
        <v>0.92</v>
      </c>
      <c r="G165" s="15">
        <v>67</v>
      </c>
      <c r="H165" s="15">
        <v>73</v>
      </c>
      <c r="I165" s="10">
        <f t="shared" si="4"/>
        <v>0.92</v>
      </c>
      <c r="J165" s="4" t="str">
        <f>IFERROR(VLOOKUP(B165,Referência!$A$5:$I$16,9,FALSE),"")</f>
        <v>percentual</v>
      </c>
      <c r="K165" s="6"/>
      <c r="L165" s="5" t="s">
        <v>81</v>
      </c>
      <c r="M165" s="8">
        <v>46276</v>
      </c>
      <c r="N165" s="5" t="s">
        <v>23</v>
      </c>
      <c r="O165" s="5" t="s">
        <v>24</v>
      </c>
      <c r="P165" s="4" t="str">
        <f t="shared" si="5"/>
        <v>COMPLETO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7">
        <v>46174</v>
      </c>
      <c r="B166" s="2" t="s">
        <v>80</v>
      </c>
      <c r="C166" s="3" t="str">
        <f>IFERROR(VLOOKUP(B166,Referência!$A$5:$I$16,2,FALSE),"")</f>
        <v>Taxa de aplicação da classificação de Robson</v>
      </c>
      <c r="D166" s="2" t="s">
        <v>19</v>
      </c>
      <c r="E166" s="2" t="s">
        <v>20</v>
      </c>
      <c r="F166" s="9">
        <v>0.93</v>
      </c>
      <c r="G166" s="15">
        <v>97</v>
      </c>
      <c r="H166" s="15">
        <v>104</v>
      </c>
      <c r="I166" s="10">
        <f t="shared" si="4"/>
        <v>0.93</v>
      </c>
      <c r="J166" s="4" t="str">
        <f>IFERROR(VLOOKUP(B166,Referência!$A$5:$I$16,9,FALSE),"")</f>
        <v>percentual</v>
      </c>
      <c r="K166" s="6"/>
      <c r="L166" s="5" t="s">
        <v>81</v>
      </c>
      <c r="M166" s="8">
        <v>46276</v>
      </c>
      <c r="N166" s="5" t="s">
        <v>23</v>
      </c>
      <c r="O166" s="5" t="s">
        <v>24</v>
      </c>
      <c r="P166" s="4" t="str">
        <f t="shared" si="5"/>
        <v>COMPLETO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7">
        <v>46174</v>
      </c>
      <c r="B167" s="2" t="s">
        <v>80</v>
      </c>
      <c r="C167" s="3" t="str">
        <f>IFERROR(VLOOKUP(B167,Referência!$A$5:$I$16,2,FALSE),"")</f>
        <v>Taxa de aplicação da classificação de Robson</v>
      </c>
      <c r="D167" s="2" t="s">
        <v>25</v>
      </c>
      <c r="E167" s="2" t="s">
        <v>20</v>
      </c>
      <c r="F167" s="9">
        <v>0.92</v>
      </c>
      <c r="G167" s="15">
        <v>49</v>
      </c>
      <c r="H167" s="15">
        <v>53</v>
      </c>
      <c r="I167" s="10">
        <f t="shared" si="4"/>
        <v>0.92</v>
      </c>
      <c r="J167" s="4" t="str">
        <f>IFERROR(VLOOKUP(B167,Referência!$A$5:$I$16,9,FALSE),"")</f>
        <v>percentual</v>
      </c>
      <c r="K167" s="6"/>
      <c r="L167" s="5" t="s">
        <v>81</v>
      </c>
      <c r="M167" s="8">
        <v>46276</v>
      </c>
      <c r="N167" s="5" t="s">
        <v>23</v>
      </c>
      <c r="O167" s="5" t="s">
        <v>24</v>
      </c>
      <c r="P167" s="4" t="str">
        <f t="shared" si="5"/>
        <v>COMPLETO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7">
        <v>46204</v>
      </c>
      <c r="B168" s="2" t="s">
        <v>80</v>
      </c>
      <c r="C168" s="3" t="str">
        <f>IFERROR(VLOOKUP(B168,Referência!$A$5:$I$16,2,FALSE),"")</f>
        <v>Taxa de aplicação da classificação de Robson</v>
      </c>
      <c r="D168" s="2" t="s">
        <v>19</v>
      </c>
      <c r="E168" s="2" t="s">
        <v>20</v>
      </c>
      <c r="F168" s="9">
        <v>0.97</v>
      </c>
      <c r="G168" s="15">
        <v>83</v>
      </c>
      <c r="H168" s="15">
        <v>86</v>
      </c>
      <c r="I168" s="10">
        <f t="shared" si="4"/>
        <v>0.97</v>
      </c>
      <c r="J168" s="4" t="str">
        <f>IFERROR(VLOOKUP(B168,Referência!$A$5:$I$16,9,FALSE),"")</f>
        <v>percentual</v>
      </c>
      <c r="K168" s="6"/>
      <c r="L168" s="5" t="s">
        <v>81</v>
      </c>
      <c r="M168" s="8">
        <v>46276</v>
      </c>
      <c r="N168" s="5" t="s">
        <v>23</v>
      </c>
      <c r="O168" s="5" t="s">
        <v>24</v>
      </c>
      <c r="P168" s="4" t="str">
        <f t="shared" si="5"/>
        <v>COMPLETO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7">
        <v>46204</v>
      </c>
      <c r="B169" s="2" t="s">
        <v>80</v>
      </c>
      <c r="C169" s="3" t="str">
        <f>IFERROR(VLOOKUP(B169,Referência!$A$5:$I$16,2,FALSE),"")</f>
        <v>Taxa de aplicação da classificação de Robson</v>
      </c>
      <c r="D169" s="2" t="s">
        <v>25</v>
      </c>
      <c r="E169" s="2" t="s">
        <v>20</v>
      </c>
      <c r="F169" s="9">
        <v>0.92</v>
      </c>
      <c r="G169" s="15">
        <v>56</v>
      </c>
      <c r="H169" s="15">
        <v>61</v>
      </c>
      <c r="I169" s="10">
        <f t="shared" si="4"/>
        <v>0.92</v>
      </c>
      <c r="J169" s="4" t="str">
        <f>IFERROR(VLOOKUP(B169,Referência!$A$5:$I$16,9,FALSE),"")</f>
        <v>percentual</v>
      </c>
      <c r="K169" s="6"/>
      <c r="L169" s="5" t="s">
        <v>81</v>
      </c>
      <c r="M169" s="8">
        <v>46276</v>
      </c>
      <c r="N169" s="5" t="s">
        <v>23</v>
      </c>
      <c r="O169" s="5" t="s">
        <v>24</v>
      </c>
      <c r="P169" s="4" t="str">
        <f t="shared" si="5"/>
        <v>COMPLETO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7">
        <v>46235</v>
      </c>
      <c r="B170" s="2" t="s">
        <v>80</v>
      </c>
      <c r="C170" s="3" t="str">
        <f>IFERROR(VLOOKUP(B170,Referência!$A$5:$I$16,2,FALSE),"")</f>
        <v>Taxa de aplicação da classificação de Robson</v>
      </c>
      <c r="D170" s="2" t="s">
        <v>19</v>
      </c>
      <c r="E170" s="2" t="s">
        <v>20</v>
      </c>
      <c r="F170" s="9">
        <v>0.96</v>
      </c>
      <c r="G170" s="15">
        <v>99</v>
      </c>
      <c r="H170" s="15">
        <v>103</v>
      </c>
      <c r="I170" s="10">
        <f t="shared" si="4"/>
        <v>0.96</v>
      </c>
      <c r="J170" s="4" t="str">
        <f>IFERROR(VLOOKUP(B170,Referência!$A$5:$I$16,9,FALSE),"")</f>
        <v>percentual</v>
      </c>
      <c r="K170" s="6"/>
      <c r="L170" s="5" t="s">
        <v>81</v>
      </c>
      <c r="M170" s="8">
        <v>46276</v>
      </c>
      <c r="N170" s="5" t="s">
        <v>23</v>
      </c>
      <c r="O170" s="5" t="s">
        <v>24</v>
      </c>
      <c r="P170" s="4" t="str">
        <f t="shared" si="5"/>
        <v>COMPLETO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7">
        <v>46235</v>
      </c>
      <c r="B171" s="2" t="s">
        <v>80</v>
      </c>
      <c r="C171" s="3" t="str">
        <f>IFERROR(VLOOKUP(B171,Referência!$A$5:$I$16,2,FALSE),"")</f>
        <v>Taxa de aplicação da classificação de Robson</v>
      </c>
      <c r="D171" s="2" t="s">
        <v>25</v>
      </c>
      <c r="E171" s="2" t="s">
        <v>20</v>
      </c>
      <c r="F171" s="9">
        <v>0.81</v>
      </c>
      <c r="G171" s="15">
        <v>58</v>
      </c>
      <c r="H171" s="15">
        <v>72</v>
      </c>
      <c r="I171" s="10">
        <f t="shared" si="4"/>
        <v>0.81</v>
      </c>
      <c r="J171" s="4" t="str">
        <f>IFERROR(VLOOKUP(B171,Referência!$A$5:$I$16,9,FALSE),"")</f>
        <v>percentual</v>
      </c>
      <c r="K171" s="6"/>
      <c r="L171" s="5" t="s">
        <v>81</v>
      </c>
      <c r="M171" s="8">
        <v>46276</v>
      </c>
      <c r="N171" s="5" t="s">
        <v>23</v>
      </c>
      <c r="O171" s="5" t="s">
        <v>24</v>
      </c>
      <c r="P171" s="4" t="str">
        <f t="shared" si="5"/>
        <v>COMPLETO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7">
        <v>46023</v>
      </c>
      <c r="B172" s="2" t="s">
        <v>84</v>
      </c>
      <c r="C172" s="3" t="str">
        <f>IFERROR(VLOOKUP(B172,Referência!$A$5:$I$16,2,FALSE),"")</f>
        <v>Crianças menores de 5 anos internadas</v>
      </c>
      <c r="D172" s="2" t="s">
        <v>85</v>
      </c>
      <c r="E172" s="2" t="s">
        <v>86</v>
      </c>
      <c r="F172" s="13">
        <v>61</v>
      </c>
      <c r="G172" s="15"/>
      <c r="H172" s="15"/>
      <c r="I172" s="14">
        <f t="shared" si="4"/>
        <v>61</v>
      </c>
      <c r="J172" s="4" t="str">
        <f>IFERROR(VLOOKUP(B172,Referência!$A$5:$I$16,9,FALSE),"")</f>
        <v>quantidade</v>
      </c>
      <c r="K172" s="6"/>
      <c r="L172" s="5" t="s">
        <v>87</v>
      </c>
      <c r="M172" s="8">
        <v>46276</v>
      </c>
      <c r="N172" s="5" t="s">
        <v>88</v>
      </c>
      <c r="O172" s="5" t="s">
        <v>24</v>
      </c>
      <c r="P172" s="4" t="str">
        <f t="shared" si="5"/>
        <v>COMPLETO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7">
        <v>46054</v>
      </c>
      <c r="B173" s="2" t="s">
        <v>84</v>
      </c>
      <c r="C173" s="3" t="str">
        <f>IFERROR(VLOOKUP(B173,Referência!$A$5:$I$16,2,FALSE),"")</f>
        <v>Crianças menores de 5 anos internadas</v>
      </c>
      <c r="D173" s="2" t="s">
        <v>85</v>
      </c>
      <c r="E173" s="2" t="s">
        <v>86</v>
      </c>
      <c r="F173" s="13">
        <v>42</v>
      </c>
      <c r="G173" s="15"/>
      <c r="H173" s="15"/>
      <c r="I173" s="14">
        <f t="shared" si="4"/>
        <v>42</v>
      </c>
      <c r="J173" s="4" t="str">
        <f>IFERROR(VLOOKUP(B173,Referência!$A$5:$I$16,9,FALSE),"")</f>
        <v>quantidade</v>
      </c>
      <c r="K173" s="6"/>
      <c r="L173" s="5" t="s">
        <v>87</v>
      </c>
      <c r="M173" s="8">
        <v>46276</v>
      </c>
      <c r="N173" s="5" t="s">
        <v>88</v>
      </c>
      <c r="O173" s="5" t="s">
        <v>24</v>
      </c>
      <c r="P173" s="4" t="str">
        <f t="shared" si="5"/>
        <v>COMPLETO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7">
        <v>46082</v>
      </c>
      <c r="B174" s="2" t="s">
        <v>84</v>
      </c>
      <c r="C174" s="3" t="str">
        <f>IFERROR(VLOOKUP(B174,Referência!$A$5:$I$16,2,FALSE),"")</f>
        <v>Crianças menores de 5 anos internadas</v>
      </c>
      <c r="D174" s="2" t="s">
        <v>85</v>
      </c>
      <c r="E174" s="2" t="s">
        <v>86</v>
      </c>
      <c r="F174" s="13">
        <v>59</v>
      </c>
      <c r="G174" s="15"/>
      <c r="H174" s="15"/>
      <c r="I174" s="14">
        <f t="shared" si="4"/>
        <v>59</v>
      </c>
      <c r="J174" s="4" t="str">
        <f>IFERROR(VLOOKUP(B174,Referência!$A$5:$I$16,9,FALSE),"")</f>
        <v>quantidade</v>
      </c>
      <c r="K174" s="6"/>
      <c r="L174" s="5" t="s">
        <v>87</v>
      </c>
      <c r="M174" s="8">
        <v>46276</v>
      </c>
      <c r="N174" s="5" t="s">
        <v>88</v>
      </c>
      <c r="O174" s="5" t="s">
        <v>24</v>
      </c>
      <c r="P174" s="4" t="str">
        <f t="shared" si="5"/>
        <v>COMPLETO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7">
        <v>46113</v>
      </c>
      <c r="B175" s="2" t="s">
        <v>84</v>
      </c>
      <c r="C175" s="3" t="str">
        <f>IFERROR(VLOOKUP(B175,Referência!$A$5:$I$16,2,FALSE),"")</f>
        <v>Crianças menores de 5 anos internadas</v>
      </c>
      <c r="D175" s="2" t="s">
        <v>85</v>
      </c>
      <c r="E175" s="2" t="s">
        <v>86</v>
      </c>
      <c r="F175" s="13">
        <v>41</v>
      </c>
      <c r="G175" s="15"/>
      <c r="H175" s="15"/>
      <c r="I175" s="14">
        <f t="shared" si="4"/>
        <v>41</v>
      </c>
      <c r="J175" s="4" t="str">
        <f>IFERROR(VLOOKUP(B175,Referência!$A$5:$I$16,9,FALSE),"")</f>
        <v>quantidade</v>
      </c>
      <c r="K175" s="6"/>
      <c r="L175" s="5" t="s">
        <v>87</v>
      </c>
      <c r="M175" s="8">
        <v>46276</v>
      </c>
      <c r="N175" s="5" t="s">
        <v>88</v>
      </c>
      <c r="O175" s="5" t="s">
        <v>24</v>
      </c>
      <c r="P175" s="4" t="str">
        <f t="shared" si="5"/>
        <v>COMPLETO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7">
        <v>46143</v>
      </c>
      <c r="B176" s="2" t="s">
        <v>84</v>
      </c>
      <c r="C176" s="3" t="str">
        <f>IFERROR(VLOOKUP(B176,Referência!$A$5:$I$16,2,FALSE),"")</f>
        <v>Crianças menores de 5 anos internadas</v>
      </c>
      <c r="D176" s="2" t="s">
        <v>85</v>
      </c>
      <c r="E176" s="2" t="s">
        <v>86</v>
      </c>
      <c r="F176" s="13">
        <v>43</v>
      </c>
      <c r="G176" s="15"/>
      <c r="H176" s="15"/>
      <c r="I176" s="14">
        <f t="shared" si="4"/>
        <v>43</v>
      </c>
      <c r="J176" s="4" t="str">
        <f>IFERROR(VLOOKUP(B176,Referência!$A$5:$I$16,9,FALSE),"")</f>
        <v>quantidade</v>
      </c>
      <c r="K176" s="6"/>
      <c r="L176" s="5" t="s">
        <v>87</v>
      </c>
      <c r="M176" s="8">
        <v>46276</v>
      </c>
      <c r="N176" s="5" t="s">
        <v>88</v>
      </c>
      <c r="O176" s="5" t="s">
        <v>24</v>
      </c>
      <c r="P176" s="4" t="str">
        <f t="shared" si="5"/>
        <v>COMPLETO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7">
        <v>46174</v>
      </c>
      <c r="B177" s="2" t="s">
        <v>84</v>
      </c>
      <c r="C177" s="3" t="str">
        <f>IFERROR(VLOOKUP(B177,Referência!$A$5:$I$16,2,FALSE),"")</f>
        <v>Crianças menores de 5 anos internadas</v>
      </c>
      <c r="D177" s="2" t="s">
        <v>85</v>
      </c>
      <c r="E177" s="2" t="s">
        <v>86</v>
      </c>
      <c r="F177" s="13">
        <v>46</v>
      </c>
      <c r="G177" s="15"/>
      <c r="H177" s="15"/>
      <c r="I177" s="14">
        <f t="shared" si="4"/>
        <v>46</v>
      </c>
      <c r="J177" s="4" t="str">
        <f>IFERROR(VLOOKUP(B177,Referência!$A$5:$I$16,9,FALSE),"")</f>
        <v>quantidade</v>
      </c>
      <c r="K177" s="6"/>
      <c r="L177" s="5" t="s">
        <v>87</v>
      </c>
      <c r="M177" s="8">
        <v>46276</v>
      </c>
      <c r="N177" s="5" t="s">
        <v>88</v>
      </c>
      <c r="O177" s="5" t="s">
        <v>24</v>
      </c>
      <c r="P177" s="4" t="str">
        <f t="shared" si="5"/>
        <v>COMPLETO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7">
        <v>46204</v>
      </c>
      <c r="B178" s="2" t="s">
        <v>84</v>
      </c>
      <c r="C178" s="3" t="str">
        <f>IFERROR(VLOOKUP(B178,Referência!$A$5:$I$16,2,FALSE),"")</f>
        <v>Crianças menores de 5 anos internadas</v>
      </c>
      <c r="D178" s="2" t="s">
        <v>85</v>
      </c>
      <c r="E178" s="2" t="s">
        <v>86</v>
      </c>
      <c r="F178" s="13">
        <v>52</v>
      </c>
      <c r="G178" s="15"/>
      <c r="H178" s="15"/>
      <c r="I178" s="14">
        <f t="shared" si="4"/>
        <v>52</v>
      </c>
      <c r="J178" s="4" t="str">
        <f>IFERROR(VLOOKUP(B178,Referência!$A$5:$I$16,9,FALSE),"")</f>
        <v>quantidade</v>
      </c>
      <c r="K178" s="6"/>
      <c r="L178" s="5" t="s">
        <v>87</v>
      </c>
      <c r="M178" s="8">
        <v>46276</v>
      </c>
      <c r="N178" s="5" t="s">
        <v>88</v>
      </c>
      <c r="O178" s="5" t="s">
        <v>24</v>
      </c>
      <c r="P178" s="4" t="str">
        <f t="shared" si="5"/>
        <v>COMPLETO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7">
        <v>46235</v>
      </c>
      <c r="B179" s="2" t="s">
        <v>84</v>
      </c>
      <c r="C179" s="3" t="str">
        <f>IFERROR(VLOOKUP(B179,Referência!$A$5:$I$16,2,FALSE),"")</f>
        <v>Crianças menores de 5 anos internadas</v>
      </c>
      <c r="D179" s="2" t="s">
        <v>85</v>
      </c>
      <c r="E179" s="2" t="s">
        <v>86</v>
      </c>
      <c r="F179" s="13">
        <v>51</v>
      </c>
      <c r="G179" s="15"/>
      <c r="H179" s="15"/>
      <c r="I179" s="14">
        <f t="shared" si="4"/>
        <v>51</v>
      </c>
      <c r="J179" s="4" t="str">
        <f>IFERROR(VLOOKUP(B179,Referência!$A$5:$I$16,9,FALSE),"")</f>
        <v>quantidade</v>
      </c>
      <c r="K179" s="6"/>
      <c r="L179" s="5" t="s">
        <v>87</v>
      </c>
      <c r="M179" s="8">
        <v>46276</v>
      </c>
      <c r="N179" s="5" t="s">
        <v>88</v>
      </c>
      <c r="O179" s="5" t="s">
        <v>24</v>
      </c>
      <c r="P179" s="4" t="str">
        <f t="shared" si="5"/>
        <v>COMPLETO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7">
        <v>45658</v>
      </c>
      <c r="B180" s="2" t="s">
        <v>89</v>
      </c>
      <c r="C180" s="3" t="str">
        <f>IFERROR(VLOOKUP(B180,Referência!$A$5:$I$16,2,FALSE),"")</f>
        <v>Crianças de 6 a 9 anos internadas</v>
      </c>
      <c r="D180" s="2" t="s">
        <v>85</v>
      </c>
      <c r="E180" s="2" t="s">
        <v>86</v>
      </c>
      <c r="F180" s="13">
        <v>14</v>
      </c>
      <c r="G180" s="15"/>
      <c r="H180" s="15"/>
      <c r="I180" s="14">
        <f t="shared" si="4"/>
        <v>14</v>
      </c>
      <c r="J180" s="4" t="str">
        <f>IFERROR(VLOOKUP(B180,Referência!$A$5:$I$16,9,FALSE),"")</f>
        <v>quantidade</v>
      </c>
      <c r="K180" s="6" t="s">
        <v>90</v>
      </c>
      <c r="L180" s="5" t="s">
        <v>87</v>
      </c>
      <c r="M180" s="8">
        <v>46276</v>
      </c>
      <c r="N180" s="5" t="s">
        <v>88</v>
      </c>
      <c r="O180" s="5" t="s">
        <v>24</v>
      </c>
      <c r="P180" s="4" t="str">
        <f t="shared" si="5"/>
        <v>COMPLETO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7">
        <v>45689</v>
      </c>
      <c r="B181" s="2" t="s">
        <v>89</v>
      </c>
      <c r="C181" s="3" t="str">
        <f>IFERROR(VLOOKUP(B181,Referência!$A$5:$I$16,2,FALSE),"")</f>
        <v>Crianças de 6 a 9 anos internadas</v>
      </c>
      <c r="D181" s="2" t="s">
        <v>85</v>
      </c>
      <c r="E181" s="2" t="s">
        <v>86</v>
      </c>
      <c r="F181" s="13">
        <v>8</v>
      </c>
      <c r="G181" s="15"/>
      <c r="H181" s="15"/>
      <c r="I181" s="14">
        <f t="shared" si="4"/>
        <v>8</v>
      </c>
      <c r="J181" s="4" t="str">
        <f>IFERROR(VLOOKUP(B181,Referência!$A$5:$I$16,9,FALSE),"")</f>
        <v>quantidade</v>
      </c>
      <c r="K181" s="6" t="s">
        <v>90</v>
      </c>
      <c r="L181" s="5" t="s">
        <v>87</v>
      </c>
      <c r="M181" s="8">
        <v>46276</v>
      </c>
      <c r="N181" s="5" t="s">
        <v>88</v>
      </c>
      <c r="O181" s="5" t="s">
        <v>24</v>
      </c>
      <c r="P181" s="4" t="str">
        <f t="shared" si="5"/>
        <v>COMPLETO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7">
        <v>45717</v>
      </c>
      <c r="B182" s="2" t="s">
        <v>89</v>
      </c>
      <c r="C182" s="3" t="str">
        <f>IFERROR(VLOOKUP(B182,Referência!$A$5:$I$16,2,FALSE),"")</f>
        <v>Crianças de 6 a 9 anos internadas</v>
      </c>
      <c r="D182" s="2" t="s">
        <v>85</v>
      </c>
      <c r="E182" s="2" t="s">
        <v>86</v>
      </c>
      <c r="F182" s="13">
        <v>14</v>
      </c>
      <c r="G182" s="15"/>
      <c r="H182" s="15"/>
      <c r="I182" s="14">
        <f t="shared" si="4"/>
        <v>14</v>
      </c>
      <c r="J182" s="4" t="str">
        <f>IFERROR(VLOOKUP(B182,Referência!$A$5:$I$16,9,FALSE),"")</f>
        <v>quantidade</v>
      </c>
      <c r="K182" s="6" t="s">
        <v>90</v>
      </c>
      <c r="L182" s="5" t="s">
        <v>87</v>
      </c>
      <c r="M182" s="8">
        <v>46276</v>
      </c>
      <c r="N182" s="5" t="s">
        <v>88</v>
      </c>
      <c r="O182" s="5" t="s">
        <v>24</v>
      </c>
      <c r="P182" s="4" t="str">
        <f t="shared" si="5"/>
        <v>COMPLETO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7">
        <v>45748</v>
      </c>
      <c r="B183" s="2" t="s">
        <v>89</v>
      </c>
      <c r="C183" s="3" t="str">
        <f>IFERROR(VLOOKUP(B183,Referência!$A$5:$I$16,2,FALSE),"")</f>
        <v>Crianças de 6 a 9 anos internadas</v>
      </c>
      <c r="D183" s="2" t="s">
        <v>85</v>
      </c>
      <c r="E183" s="2" t="s">
        <v>86</v>
      </c>
      <c r="F183" s="13">
        <v>13</v>
      </c>
      <c r="G183" s="15"/>
      <c r="H183" s="15"/>
      <c r="I183" s="14">
        <f t="shared" si="4"/>
        <v>13</v>
      </c>
      <c r="J183" s="4" t="str">
        <f>IFERROR(VLOOKUP(B183,Referência!$A$5:$I$16,9,FALSE),"")</f>
        <v>quantidade</v>
      </c>
      <c r="K183" s="6" t="s">
        <v>90</v>
      </c>
      <c r="L183" s="5" t="s">
        <v>87</v>
      </c>
      <c r="M183" s="8">
        <v>46276</v>
      </c>
      <c r="N183" s="5" t="s">
        <v>88</v>
      </c>
      <c r="O183" s="5" t="s">
        <v>24</v>
      </c>
      <c r="P183" s="4" t="str">
        <f t="shared" si="5"/>
        <v>COMPLETO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7">
        <v>45778</v>
      </c>
      <c r="B184" s="2" t="s">
        <v>89</v>
      </c>
      <c r="C184" s="3" t="str">
        <f>IFERROR(VLOOKUP(B184,Referência!$A$5:$I$16,2,FALSE),"")</f>
        <v>Crianças de 6 a 9 anos internadas</v>
      </c>
      <c r="D184" s="2" t="s">
        <v>85</v>
      </c>
      <c r="E184" s="2" t="s">
        <v>86</v>
      </c>
      <c r="F184" s="13">
        <v>12</v>
      </c>
      <c r="G184" s="15"/>
      <c r="H184" s="15"/>
      <c r="I184" s="14">
        <f t="shared" si="4"/>
        <v>12</v>
      </c>
      <c r="J184" s="4" t="str">
        <f>IFERROR(VLOOKUP(B184,Referência!$A$5:$I$16,9,FALSE),"")</f>
        <v>quantidade</v>
      </c>
      <c r="K184" s="6" t="s">
        <v>90</v>
      </c>
      <c r="L184" s="5" t="s">
        <v>87</v>
      </c>
      <c r="M184" s="8">
        <v>46276</v>
      </c>
      <c r="N184" s="5" t="s">
        <v>88</v>
      </c>
      <c r="O184" s="5" t="s">
        <v>24</v>
      </c>
      <c r="P184" s="4" t="str">
        <f t="shared" si="5"/>
        <v>COMPLETO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7">
        <v>45809</v>
      </c>
      <c r="B185" s="2" t="s">
        <v>89</v>
      </c>
      <c r="C185" s="3" t="str">
        <f>IFERROR(VLOOKUP(B185,Referência!$A$5:$I$16,2,FALSE),"")</f>
        <v>Crianças de 6 a 9 anos internadas</v>
      </c>
      <c r="D185" s="2" t="s">
        <v>85</v>
      </c>
      <c r="E185" s="2" t="s">
        <v>86</v>
      </c>
      <c r="F185" s="13">
        <v>12</v>
      </c>
      <c r="G185" s="15"/>
      <c r="H185" s="15"/>
      <c r="I185" s="14">
        <f t="shared" si="4"/>
        <v>12</v>
      </c>
      <c r="J185" s="4" t="str">
        <f>IFERROR(VLOOKUP(B185,Referência!$A$5:$I$16,9,FALSE),"")</f>
        <v>quantidade</v>
      </c>
      <c r="K185" s="6" t="s">
        <v>90</v>
      </c>
      <c r="L185" s="5" t="s">
        <v>87</v>
      </c>
      <c r="M185" s="8">
        <v>46276</v>
      </c>
      <c r="N185" s="5" t="s">
        <v>88</v>
      </c>
      <c r="O185" s="5" t="s">
        <v>24</v>
      </c>
      <c r="P185" s="4" t="str">
        <f t="shared" si="5"/>
        <v>COMPLETO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7">
        <v>45839</v>
      </c>
      <c r="B186" s="2" t="s">
        <v>89</v>
      </c>
      <c r="C186" s="3" t="str">
        <f>IFERROR(VLOOKUP(B186,Referência!$A$5:$I$16,2,FALSE),"")</f>
        <v>Crianças de 6 a 9 anos internadas</v>
      </c>
      <c r="D186" s="2" t="s">
        <v>85</v>
      </c>
      <c r="E186" s="2" t="s">
        <v>86</v>
      </c>
      <c r="F186" s="13">
        <v>18</v>
      </c>
      <c r="G186" s="15"/>
      <c r="H186" s="15"/>
      <c r="I186" s="14">
        <f t="shared" si="4"/>
        <v>18</v>
      </c>
      <c r="J186" s="4" t="str">
        <f>IFERROR(VLOOKUP(B186,Referência!$A$5:$I$16,9,FALSE),"")</f>
        <v>quantidade</v>
      </c>
      <c r="K186" s="6" t="s">
        <v>90</v>
      </c>
      <c r="L186" s="5" t="s">
        <v>87</v>
      </c>
      <c r="M186" s="8">
        <v>46276</v>
      </c>
      <c r="N186" s="5" t="s">
        <v>88</v>
      </c>
      <c r="O186" s="5" t="s">
        <v>24</v>
      </c>
      <c r="P186" s="4" t="str">
        <f t="shared" si="5"/>
        <v>COMPLETO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7">
        <v>45870</v>
      </c>
      <c r="B187" s="2" t="s">
        <v>89</v>
      </c>
      <c r="C187" s="3" t="str">
        <f>IFERROR(VLOOKUP(B187,Referência!$A$5:$I$16,2,FALSE),"")</f>
        <v>Crianças de 6 a 9 anos internadas</v>
      </c>
      <c r="D187" s="2" t="s">
        <v>85</v>
      </c>
      <c r="E187" s="2" t="s">
        <v>86</v>
      </c>
      <c r="F187" s="13">
        <v>13</v>
      </c>
      <c r="G187" s="15"/>
      <c r="H187" s="15"/>
      <c r="I187" s="14">
        <f t="shared" si="4"/>
        <v>13</v>
      </c>
      <c r="J187" s="4" t="str">
        <f>IFERROR(VLOOKUP(B187,Referência!$A$5:$I$16,9,FALSE),"")</f>
        <v>quantidade</v>
      </c>
      <c r="K187" s="6" t="s">
        <v>90</v>
      </c>
      <c r="L187" s="5" t="s">
        <v>87</v>
      </c>
      <c r="M187" s="8">
        <v>46276</v>
      </c>
      <c r="N187" s="5" t="s">
        <v>88</v>
      </c>
      <c r="O187" s="5" t="s">
        <v>24</v>
      </c>
      <c r="P187" s="4" t="str">
        <f t="shared" si="5"/>
        <v>COMPLETO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7">
        <v>46023</v>
      </c>
      <c r="B188" s="2" t="s">
        <v>91</v>
      </c>
      <c r="C188" s="3" t="str">
        <f>IFERROR(VLOOKUP(B188,Referência!$A$5:$I$16,2,FALSE),"")</f>
        <v>Quantidade de partos por tipo</v>
      </c>
      <c r="D188" s="2" t="s">
        <v>19</v>
      </c>
      <c r="E188" s="2" t="s">
        <v>92</v>
      </c>
      <c r="F188" s="13">
        <v>20</v>
      </c>
      <c r="G188" s="15"/>
      <c r="H188" s="15"/>
      <c r="I188" s="14">
        <f t="shared" si="4"/>
        <v>20</v>
      </c>
      <c r="J188" s="4" t="str">
        <f>IFERROR(VLOOKUP(B188,Referência!$A$5:$I$16,9,FALSE),"")</f>
        <v>quantidade</v>
      </c>
      <c r="K188" s="6"/>
      <c r="L188" s="5" t="s">
        <v>93</v>
      </c>
      <c r="M188" s="8">
        <v>46276</v>
      </c>
      <c r="N188" s="5" t="s">
        <v>23</v>
      </c>
      <c r="O188" s="5" t="s">
        <v>24</v>
      </c>
      <c r="P188" s="4" t="str">
        <f t="shared" si="5"/>
        <v>COMPLETO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7">
        <v>46023</v>
      </c>
      <c r="B189" s="2" t="s">
        <v>91</v>
      </c>
      <c r="C189" s="3" t="str">
        <f>IFERROR(VLOOKUP(B189,Referência!$A$5:$I$16,2,FALSE),"")</f>
        <v>Quantidade de partos por tipo</v>
      </c>
      <c r="D189" s="2" t="s">
        <v>19</v>
      </c>
      <c r="E189" s="2" t="s">
        <v>94</v>
      </c>
      <c r="F189" s="13">
        <v>40</v>
      </c>
      <c r="G189" s="15"/>
      <c r="H189" s="15"/>
      <c r="I189" s="14">
        <f t="shared" si="4"/>
        <v>40</v>
      </c>
      <c r="J189" s="4" t="str">
        <f>IFERROR(VLOOKUP(B189,Referência!$A$5:$I$16,9,FALSE),"")</f>
        <v>quantidade</v>
      </c>
      <c r="K189" s="6"/>
      <c r="L189" s="5" t="s">
        <v>93</v>
      </c>
      <c r="M189" s="8">
        <v>46276</v>
      </c>
      <c r="N189" s="5" t="s">
        <v>23</v>
      </c>
      <c r="O189" s="5" t="s">
        <v>24</v>
      </c>
      <c r="P189" s="4" t="str">
        <f t="shared" si="5"/>
        <v>COMPLETO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7">
        <v>46023</v>
      </c>
      <c r="B190" s="2" t="s">
        <v>91</v>
      </c>
      <c r="C190" s="3" t="str">
        <f>IFERROR(VLOOKUP(B190,Referência!$A$5:$I$16,2,FALSE),"")</f>
        <v>Quantidade de partos por tipo</v>
      </c>
      <c r="D190" s="2" t="s">
        <v>19</v>
      </c>
      <c r="E190" s="2" t="s">
        <v>95</v>
      </c>
      <c r="F190" s="13">
        <v>12</v>
      </c>
      <c r="G190" s="15"/>
      <c r="H190" s="15"/>
      <c r="I190" s="14">
        <f t="shared" si="4"/>
        <v>12</v>
      </c>
      <c r="J190" s="4" t="str">
        <f>IFERROR(VLOOKUP(B190,Referência!$A$5:$I$16,9,FALSE),"")</f>
        <v>quantidade</v>
      </c>
      <c r="K190" s="6"/>
      <c r="L190" s="5" t="s">
        <v>93</v>
      </c>
      <c r="M190" s="8">
        <v>46276</v>
      </c>
      <c r="N190" s="5" t="s">
        <v>23</v>
      </c>
      <c r="O190" s="5" t="s">
        <v>24</v>
      </c>
      <c r="P190" s="4" t="str">
        <f t="shared" si="5"/>
        <v>COMPLETO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7">
        <v>46023</v>
      </c>
      <c r="B191" s="2" t="s">
        <v>91</v>
      </c>
      <c r="C191" s="3" t="str">
        <f>IFERROR(VLOOKUP(B191,Referência!$A$5:$I$16,2,FALSE),"")</f>
        <v>Quantidade de partos por tipo</v>
      </c>
      <c r="D191" s="2" t="s">
        <v>19</v>
      </c>
      <c r="E191" s="2" t="s">
        <v>96</v>
      </c>
      <c r="F191" s="13">
        <v>18</v>
      </c>
      <c r="G191" s="15"/>
      <c r="H191" s="15"/>
      <c r="I191" s="14">
        <f t="shared" si="4"/>
        <v>18</v>
      </c>
      <c r="J191" s="4" t="str">
        <f>IFERROR(VLOOKUP(B191,Referência!$A$5:$I$16,9,FALSE),"")</f>
        <v>quantidade</v>
      </c>
      <c r="K191" s="6"/>
      <c r="L191" s="5" t="s">
        <v>93</v>
      </c>
      <c r="M191" s="8">
        <v>46276</v>
      </c>
      <c r="N191" s="5" t="s">
        <v>23</v>
      </c>
      <c r="O191" s="5" t="s">
        <v>24</v>
      </c>
      <c r="P191" s="4" t="str">
        <f t="shared" si="5"/>
        <v>COMPLETO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7">
        <v>46023</v>
      </c>
      <c r="B192" s="2" t="s">
        <v>91</v>
      </c>
      <c r="C192" s="3" t="str">
        <f>IFERROR(VLOOKUP(B192,Referência!$A$5:$I$16,2,FALSE),"")</f>
        <v>Quantidade de partos por tipo</v>
      </c>
      <c r="D192" s="2" t="s">
        <v>25</v>
      </c>
      <c r="E192" s="2" t="s">
        <v>97</v>
      </c>
      <c r="F192" s="13">
        <v>22</v>
      </c>
      <c r="G192" s="15"/>
      <c r="H192" s="15"/>
      <c r="I192" s="14">
        <f t="shared" si="4"/>
        <v>22</v>
      </c>
      <c r="J192" s="4" t="str">
        <f>IFERROR(VLOOKUP(B192,Referência!$A$5:$I$16,9,FALSE),"")</f>
        <v>quantidade</v>
      </c>
      <c r="K192" s="6"/>
      <c r="L192" s="5" t="s">
        <v>93</v>
      </c>
      <c r="M192" s="8">
        <v>46276</v>
      </c>
      <c r="N192" s="5" t="s">
        <v>23</v>
      </c>
      <c r="O192" s="5" t="s">
        <v>24</v>
      </c>
      <c r="P192" s="4" t="str">
        <f t="shared" si="5"/>
        <v>COMPLETO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7">
        <v>46023</v>
      </c>
      <c r="B193" s="2" t="s">
        <v>91</v>
      </c>
      <c r="C193" s="3" t="str">
        <f>IFERROR(VLOOKUP(B193,Referência!$A$5:$I$16,2,FALSE),"")</f>
        <v>Quantidade de partos por tipo</v>
      </c>
      <c r="D193" s="2" t="s">
        <v>25</v>
      </c>
      <c r="E193" s="2" t="s">
        <v>98</v>
      </c>
      <c r="F193" s="13">
        <v>44</v>
      </c>
      <c r="G193" s="15"/>
      <c r="H193" s="15"/>
      <c r="I193" s="14">
        <f t="shared" si="4"/>
        <v>44</v>
      </c>
      <c r="J193" s="4" t="str">
        <f>IFERROR(VLOOKUP(B193,Referência!$A$5:$I$16,9,FALSE),"")</f>
        <v>quantidade</v>
      </c>
      <c r="K193" s="6"/>
      <c r="L193" s="5" t="s">
        <v>93</v>
      </c>
      <c r="M193" s="8">
        <v>46276</v>
      </c>
      <c r="N193" s="5" t="s">
        <v>23</v>
      </c>
      <c r="O193" s="5" t="s">
        <v>24</v>
      </c>
      <c r="P193" s="4" t="str">
        <f t="shared" si="5"/>
        <v>COMPLETO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7">
        <v>46054</v>
      </c>
      <c r="B194" s="2" t="s">
        <v>91</v>
      </c>
      <c r="C194" s="3" t="str">
        <f>IFERROR(VLOOKUP(B194,Referência!$A$5:$I$16,2,FALSE),"")</f>
        <v>Quantidade de partos por tipo</v>
      </c>
      <c r="D194" s="2" t="s">
        <v>19</v>
      </c>
      <c r="E194" s="2" t="s">
        <v>92</v>
      </c>
      <c r="F194" s="13">
        <v>11</v>
      </c>
      <c r="G194" s="15"/>
      <c r="H194" s="15"/>
      <c r="I194" s="14">
        <f t="shared" si="4"/>
        <v>11</v>
      </c>
      <c r="J194" s="4" t="str">
        <f>IFERROR(VLOOKUP(B194,Referência!$A$5:$I$16,9,FALSE),"")</f>
        <v>quantidade</v>
      </c>
      <c r="K194" s="6"/>
      <c r="L194" s="5" t="s">
        <v>93</v>
      </c>
      <c r="M194" s="8">
        <v>46276</v>
      </c>
      <c r="N194" s="5" t="s">
        <v>23</v>
      </c>
      <c r="O194" s="5" t="s">
        <v>24</v>
      </c>
      <c r="P194" s="4" t="str">
        <f t="shared" si="5"/>
        <v>COMPLETO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7">
        <v>46054</v>
      </c>
      <c r="B195" s="2" t="s">
        <v>91</v>
      </c>
      <c r="C195" s="3" t="str">
        <f>IFERROR(VLOOKUP(B195,Referência!$A$5:$I$16,2,FALSE),"")</f>
        <v>Quantidade de partos por tipo</v>
      </c>
      <c r="D195" s="2" t="s">
        <v>19</v>
      </c>
      <c r="E195" s="2" t="s">
        <v>94</v>
      </c>
      <c r="F195" s="13">
        <v>29</v>
      </c>
      <c r="G195" s="15"/>
      <c r="H195" s="15"/>
      <c r="I195" s="14">
        <f t="shared" si="4"/>
        <v>29</v>
      </c>
      <c r="J195" s="4" t="str">
        <f>IFERROR(VLOOKUP(B195,Referência!$A$5:$I$16,9,FALSE),"")</f>
        <v>quantidade</v>
      </c>
      <c r="K195" s="6"/>
      <c r="L195" s="5" t="s">
        <v>93</v>
      </c>
      <c r="M195" s="8">
        <v>46276</v>
      </c>
      <c r="N195" s="5" t="s">
        <v>23</v>
      </c>
      <c r="O195" s="5" t="s">
        <v>24</v>
      </c>
      <c r="P195" s="4" t="str">
        <f t="shared" si="5"/>
        <v>COMPLETO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7">
        <v>46054</v>
      </c>
      <c r="B196" s="2" t="s">
        <v>91</v>
      </c>
      <c r="C196" s="3" t="str">
        <f>IFERROR(VLOOKUP(B196,Referência!$A$5:$I$16,2,FALSE),"")</f>
        <v>Quantidade de partos por tipo</v>
      </c>
      <c r="D196" s="2" t="s">
        <v>19</v>
      </c>
      <c r="E196" s="2" t="s">
        <v>95</v>
      </c>
      <c r="F196" s="13">
        <v>18</v>
      </c>
      <c r="G196" s="15"/>
      <c r="H196" s="15"/>
      <c r="I196" s="14">
        <f t="shared" si="4"/>
        <v>18</v>
      </c>
      <c r="J196" s="4" t="str">
        <f>IFERROR(VLOOKUP(B196,Referência!$A$5:$I$16,9,FALSE),"")</f>
        <v>quantidade</v>
      </c>
      <c r="K196" s="6"/>
      <c r="L196" s="5" t="s">
        <v>93</v>
      </c>
      <c r="M196" s="8">
        <v>46276</v>
      </c>
      <c r="N196" s="5" t="s">
        <v>23</v>
      </c>
      <c r="O196" s="5" t="s">
        <v>24</v>
      </c>
      <c r="P196" s="4" t="str">
        <f t="shared" si="5"/>
        <v>COMPLETO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7">
        <v>46054</v>
      </c>
      <c r="B197" s="2" t="s">
        <v>91</v>
      </c>
      <c r="C197" s="3" t="str">
        <f>IFERROR(VLOOKUP(B197,Referência!$A$5:$I$16,2,FALSE),"")</f>
        <v>Quantidade de partos por tipo</v>
      </c>
      <c r="D197" s="2" t="s">
        <v>19</v>
      </c>
      <c r="E197" s="2" t="s">
        <v>96</v>
      </c>
      <c r="F197" s="13">
        <v>9</v>
      </c>
      <c r="G197" s="15"/>
      <c r="H197" s="15"/>
      <c r="I197" s="14">
        <f t="shared" si="4"/>
        <v>9</v>
      </c>
      <c r="J197" s="4" t="str">
        <f>IFERROR(VLOOKUP(B197,Referência!$A$5:$I$16,9,FALSE),"")</f>
        <v>quantidade</v>
      </c>
      <c r="K197" s="6"/>
      <c r="L197" s="5" t="s">
        <v>93</v>
      </c>
      <c r="M197" s="8">
        <v>46276</v>
      </c>
      <c r="N197" s="5" t="s">
        <v>23</v>
      </c>
      <c r="O197" s="5" t="s">
        <v>24</v>
      </c>
      <c r="P197" s="4" t="str">
        <f t="shared" si="5"/>
        <v>COMPLETO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7">
        <v>46054</v>
      </c>
      <c r="B198" s="2" t="s">
        <v>91</v>
      </c>
      <c r="C198" s="3" t="str">
        <f>IFERROR(VLOOKUP(B198,Referência!$A$5:$I$16,2,FALSE),"")</f>
        <v>Quantidade de partos por tipo</v>
      </c>
      <c r="D198" s="2" t="s">
        <v>25</v>
      </c>
      <c r="E198" s="2" t="s">
        <v>97</v>
      </c>
      <c r="F198" s="13">
        <v>17</v>
      </c>
      <c r="G198" s="15"/>
      <c r="H198" s="15"/>
      <c r="I198" s="14">
        <f t="shared" ref="I198:I261" si="6">IF(B198="","",IF(F198&lt;&gt;"",F198,IF(AND(G198&lt;&gt;"",H198&lt;&gt;""),IF(H198=0,"",G198/H198),"")))</f>
        <v>17</v>
      </c>
      <c r="J198" s="4" t="str">
        <f>IFERROR(VLOOKUP(B198,Referência!$A$5:$I$16,9,FALSE),"")</f>
        <v>quantidade</v>
      </c>
      <c r="K198" s="6"/>
      <c r="L198" s="5" t="s">
        <v>93</v>
      </c>
      <c r="M198" s="8">
        <v>46276</v>
      </c>
      <c r="N198" s="5" t="s">
        <v>23</v>
      </c>
      <c r="O198" s="5" t="s">
        <v>24</v>
      </c>
      <c r="P198" s="4" t="str">
        <f t="shared" ref="P198:P261" si="7">IF(B198="","",IF(OR(A198="",C198="",D198="",E198="",I198="",J198="",L198="",M198="",N198="",O198=""),"INCOMPLETO","COMPLETO"))</f>
        <v>COMPLETO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7">
        <v>46054</v>
      </c>
      <c r="B199" s="2" t="s">
        <v>91</v>
      </c>
      <c r="C199" s="3" t="str">
        <f>IFERROR(VLOOKUP(B199,Referência!$A$5:$I$16,2,FALSE),"")</f>
        <v>Quantidade de partos por tipo</v>
      </c>
      <c r="D199" s="2" t="s">
        <v>25</v>
      </c>
      <c r="E199" s="2" t="s">
        <v>98</v>
      </c>
      <c r="F199" s="13">
        <v>51</v>
      </c>
      <c r="G199" s="15"/>
      <c r="H199" s="15"/>
      <c r="I199" s="14">
        <f t="shared" si="6"/>
        <v>51</v>
      </c>
      <c r="J199" s="4" t="str">
        <f>IFERROR(VLOOKUP(B199,Referência!$A$5:$I$16,9,FALSE),"")</f>
        <v>quantidade</v>
      </c>
      <c r="K199" s="6"/>
      <c r="L199" s="5" t="s">
        <v>93</v>
      </c>
      <c r="M199" s="8">
        <v>46276</v>
      </c>
      <c r="N199" s="5" t="s">
        <v>23</v>
      </c>
      <c r="O199" s="5" t="s">
        <v>24</v>
      </c>
      <c r="P199" s="4" t="str">
        <f t="shared" si="7"/>
        <v>COMPLETO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7">
        <v>46082</v>
      </c>
      <c r="B200" s="2" t="s">
        <v>91</v>
      </c>
      <c r="C200" s="3" t="str">
        <f>IFERROR(VLOOKUP(B200,Referência!$A$5:$I$16,2,FALSE),"")</f>
        <v>Quantidade de partos por tipo</v>
      </c>
      <c r="D200" s="2" t="s">
        <v>19</v>
      </c>
      <c r="E200" s="2" t="s">
        <v>92</v>
      </c>
      <c r="F200" s="13">
        <v>34</v>
      </c>
      <c r="G200" s="15"/>
      <c r="H200" s="15"/>
      <c r="I200" s="14">
        <f t="shared" si="6"/>
        <v>34</v>
      </c>
      <c r="J200" s="4" t="str">
        <f>IFERROR(VLOOKUP(B200,Referência!$A$5:$I$16,9,FALSE),"")</f>
        <v>quantidade</v>
      </c>
      <c r="K200" s="6"/>
      <c r="L200" s="5" t="s">
        <v>93</v>
      </c>
      <c r="M200" s="8">
        <v>46276</v>
      </c>
      <c r="N200" s="5" t="s">
        <v>23</v>
      </c>
      <c r="O200" s="5" t="s">
        <v>24</v>
      </c>
      <c r="P200" s="4" t="str">
        <f t="shared" si="7"/>
        <v>COMPLETO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7">
        <v>46082</v>
      </c>
      <c r="B201" s="2" t="s">
        <v>91</v>
      </c>
      <c r="C201" s="3" t="str">
        <f>IFERROR(VLOOKUP(B201,Referência!$A$5:$I$16,2,FALSE),"")</f>
        <v>Quantidade de partos por tipo</v>
      </c>
      <c r="D201" s="2" t="s">
        <v>19</v>
      </c>
      <c r="E201" s="2" t="s">
        <v>94</v>
      </c>
      <c r="F201" s="13">
        <v>55</v>
      </c>
      <c r="G201" s="15"/>
      <c r="H201" s="15"/>
      <c r="I201" s="14">
        <f t="shared" si="6"/>
        <v>55</v>
      </c>
      <c r="J201" s="4" t="str">
        <f>IFERROR(VLOOKUP(B201,Referência!$A$5:$I$16,9,FALSE),"")</f>
        <v>quantidade</v>
      </c>
      <c r="K201" s="6"/>
      <c r="L201" s="5" t="s">
        <v>93</v>
      </c>
      <c r="M201" s="8">
        <v>46276</v>
      </c>
      <c r="N201" s="5" t="s">
        <v>23</v>
      </c>
      <c r="O201" s="5" t="s">
        <v>24</v>
      </c>
      <c r="P201" s="4" t="str">
        <f t="shared" si="7"/>
        <v>COMPLETO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7">
        <v>46082</v>
      </c>
      <c r="B202" s="2" t="s">
        <v>91</v>
      </c>
      <c r="C202" s="3" t="str">
        <f>IFERROR(VLOOKUP(B202,Referência!$A$5:$I$16,2,FALSE),"")</f>
        <v>Quantidade de partos por tipo</v>
      </c>
      <c r="D202" s="2" t="s">
        <v>19</v>
      </c>
      <c r="E202" s="2" t="s">
        <v>95</v>
      </c>
      <c r="F202" s="13">
        <v>18</v>
      </c>
      <c r="G202" s="15"/>
      <c r="H202" s="15"/>
      <c r="I202" s="14">
        <f t="shared" si="6"/>
        <v>18</v>
      </c>
      <c r="J202" s="4" t="str">
        <f>IFERROR(VLOOKUP(B202,Referência!$A$5:$I$16,9,FALSE),"")</f>
        <v>quantidade</v>
      </c>
      <c r="K202" s="6"/>
      <c r="L202" s="5" t="s">
        <v>93</v>
      </c>
      <c r="M202" s="8">
        <v>46276</v>
      </c>
      <c r="N202" s="5" t="s">
        <v>23</v>
      </c>
      <c r="O202" s="5" t="s">
        <v>24</v>
      </c>
      <c r="P202" s="4" t="str">
        <f t="shared" si="7"/>
        <v>COMPLETO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7">
        <v>46082</v>
      </c>
      <c r="B203" s="2" t="s">
        <v>91</v>
      </c>
      <c r="C203" s="3" t="str">
        <f>IFERROR(VLOOKUP(B203,Referência!$A$5:$I$16,2,FALSE),"")</f>
        <v>Quantidade de partos por tipo</v>
      </c>
      <c r="D203" s="2" t="s">
        <v>19</v>
      </c>
      <c r="E203" s="2" t="s">
        <v>96</v>
      </c>
      <c r="F203" s="13">
        <v>23</v>
      </c>
      <c r="G203" s="15"/>
      <c r="H203" s="15"/>
      <c r="I203" s="14">
        <f t="shared" si="6"/>
        <v>23</v>
      </c>
      <c r="J203" s="4" t="str">
        <f>IFERROR(VLOOKUP(B203,Referência!$A$5:$I$16,9,FALSE),"")</f>
        <v>quantidade</v>
      </c>
      <c r="K203" s="6"/>
      <c r="L203" s="5" t="s">
        <v>93</v>
      </c>
      <c r="M203" s="8">
        <v>46276</v>
      </c>
      <c r="N203" s="5" t="s">
        <v>23</v>
      </c>
      <c r="O203" s="5" t="s">
        <v>24</v>
      </c>
      <c r="P203" s="4" t="str">
        <f t="shared" si="7"/>
        <v>COMPLETO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7">
        <v>46082</v>
      </c>
      <c r="B204" s="2" t="s">
        <v>91</v>
      </c>
      <c r="C204" s="3" t="str">
        <f>IFERROR(VLOOKUP(B204,Referência!$A$5:$I$16,2,FALSE),"")</f>
        <v>Quantidade de partos por tipo</v>
      </c>
      <c r="D204" s="2" t="s">
        <v>25</v>
      </c>
      <c r="E204" s="2" t="s">
        <v>97</v>
      </c>
      <c r="F204" s="13">
        <v>22</v>
      </c>
      <c r="G204" s="15"/>
      <c r="H204" s="15"/>
      <c r="I204" s="14">
        <f t="shared" si="6"/>
        <v>22</v>
      </c>
      <c r="J204" s="4" t="str">
        <f>IFERROR(VLOOKUP(B204,Referência!$A$5:$I$16,9,FALSE),"")</f>
        <v>quantidade</v>
      </c>
      <c r="K204" s="6"/>
      <c r="L204" s="5" t="s">
        <v>93</v>
      </c>
      <c r="M204" s="8">
        <v>46276</v>
      </c>
      <c r="N204" s="5" t="s">
        <v>23</v>
      </c>
      <c r="O204" s="5" t="s">
        <v>24</v>
      </c>
      <c r="P204" s="4" t="str">
        <f t="shared" si="7"/>
        <v>COMPLETO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7">
        <v>46082</v>
      </c>
      <c r="B205" s="2" t="s">
        <v>91</v>
      </c>
      <c r="C205" s="3" t="str">
        <f>IFERROR(VLOOKUP(B205,Referência!$A$5:$I$16,2,FALSE),"")</f>
        <v>Quantidade de partos por tipo</v>
      </c>
      <c r="D205" s="2" t="s">
        <v>25</v>
      </c>
      <c r="E205" s="2" t="s">
        <v>98</v>
      </c>
      <c r="F205" s="13">
        <v>64</v>
      </c>
      <c r="G205" s="15"/>
      <c r="H205" s="15"/>
      <c r="I205" s="14">
        <f t="shared" si="6"/>
        <v>64</v>
      </c>
      <c r="J205" s="4" t="str">
        <f>IFERROR(VLOOKUP(B205,Referência!$A$5:$I$16,9,FALSE),"")</f>
        <v>quantidade</v>
      </c>
      <c r="K205" s="6"/>
      <c r="L205" s="5" t="s">
        <v>93</v>
      </c>
      <c r="M205" s="8">
        <v>46276</v>
      </c>
      <c r="N205" s="5" t="s">
        <v>23</v>
      </c>
      <c r="O205" s="5" t="s">
        <v>24</v>
      </c>
      <c r="P205" s="4" t="str">
        <f t="shared" si="7"/>
        <v>COMPLETO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7">
        <v>46113</v>
      </c>
      <c r="B206" s="2" t="s">
        <v>91</v>
      </c>
      <c r="C206" s="3" t="str">
        <f>IFERROR(VLOOKUP(B206,Referência!$A$5:$I$16,2,FALSE),"")</f>
        <v>Quantidade de partos por tipo</v>
      </c>
      <c r="D206" s="2" t="s">
        <v>19</v>
      </c>
      <c r="E206" s="2" t="s">
        <v>92</v>
      </c>
      <c r="F206" s="13">
        <v>22</v>
      </c>
      <c r="G206" s="15"/>
      <c r="H206" s="15"/>
      <c r="I206" s="14">
        <f t="shared" si="6"/>
        <v>22</v>
      </c>
      <c r="J206" s="4" t="str">
        <f>IFERROR(VLOOKUP(B206,Referência!$A$5:$I$16,9,FALSE),"")</f>
        <v>quantidade</v>
      </c>
      <c r="K206" s="6"/>
      <c r="L206" s="5" t="s">
        <v>93</v>
      </c>
      <c r="M206" s="8">
        <v>46276</v>
      </c>
      <c r="N206" s="5" t="s">
        <v>23</v>
      </c>
      <c r="O206" s="5" t="s">
        <v>24</v>
      </c>
      <c r="P206" s="4" t="str">
        <f t="shared" si="7"/>
        <v>COMPLETO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7">
        <v>46113</v>
      </c>
      <c r="B207" s="2" t="s">
        <v>91</v>
      </c>
      <c r="C207" s="3" t="str">
        <f>IFERROR(VLOOKUP(B207,Referência!$A$5:$I$16,2,FALSE),"")</f>
        <v>Quantidade de partos por tipo</v>
      </c>
      <c r="D207" s="2" t="s">
        <v>19</v>
      </c>
      <c r="E207" s="2" t="s">
        <v>94</v>
      </c>
      <c r="F207" s="13">
        <v>36</v>
      </c>
      <c r="G207" s="15"/>
      <c r="H207" s="15"/>
      <c r="I207" s="14">
        <f t="shared" si="6"/>
        <v>36</v>
      </c>
      <c r="J207" s="4" t="str">
        <f>IFERROR(VLOOKUP(B207,Referência!$A$5:$I$16,9,FALSE),"")</f>
        <v>quantidade</v>
      </c>
      <c r="K207" s="6"/>
      <c r="L207" s="5" t="s">
        <v>93</v>
      </c>
      <c r="M207" s="8">
        <v>46276</v>
      </c>
      <c r="N207" s="5" t="s">
        <v>23</v>
      </c>
      <c r="O207" s="5" t="s">
        <v>24</v>
      </c>
      <c r="P207" s="4" t="str">
        <f t="shared" si="7"/>
        <v>COMPLETO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7">
        <v>46113</v>
      </c>
      <c r="B208" s="2" t="s">
        <v>91</v>
      </c>
      <c r="C208" s="3" t="str">
        <f>IFERROR(VLOOKUP(B208,Referência!$A$5:$I$16,2,FALSE),"")</f>
        <v>Quantidade de partos por tipo</v>
      </c>
      <c r="D208" s="2" t="s">
        <v>19</v>
      </c>
      <c r="E208" s="2" t="s">
        <v>95</v>
      </c>
      <c r="F208" s="13">
        <v>13</v>
      </c>
      <c r="G208" s="15"/>
      <c r="H208" s="15"/>
      <c r="I208" s="14">
        <f t="shared" si="6"/>
        <v>13</v>
      </c>
      <c r="J208" s="4" t="str">
        <f>IFERROR(VLOOKUP(B208,Referência!$A$5:$I$16,9,FALSE),"")</f>
        <v>quantidade</v>
      </c>
      <c r="K208" s="6"/>
      <c r="L208" s="5" t="s">
        <v>93</v>
      </c>
      <c r="M208" s="8">
        <v>46276</v>
      </c>
      <c r="N208" s="5" t="s">
        <v>23</v>
      </c>
      <c r="O208" s="5" t="s">
        <v>24</v>
      </c>
      <c r="P208" s="4" t="str">
        <f t="shared" si="7"/>
        <v>COMPLETO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7">
        <v>46113</v>
      </c>
      <c r="B209" s="2" t="s">
        <v>91</v>
      </c>
      <c r="C209" s="3" t="str">
        <f>IFERROR(VLOOKUP(B209,Referência!$A$5:$I$16,2,FALSE),"")</f>
        <v>Quantidade de partos por tipo</v>
      </c>
      <c r="D209" s="2" t="s">
        <v>19</v>
      </c>
      <c r="E209" s="2" t="s">
        <v>96</v>
      </c>
      <c r="F209" s="13">
        <v>24</v>
      </c>
      <c r="G209" s="15"/>
      <c r="H209" s="15"/>
      <c r="I209" s="14">
        <f t="shared" si="6"/>
        <v>24</v>
      </c>
      <c r="J209" s="4" t="str">
        <f>IFERROR(VLOOKUP(B209,Referência!$A$5:$I$16,9,FALSE),"")</f>
        <v>quantidade</v>
      </c>
      <c r="K209" s="6"/>
      <c r="L209" s="5" t="s">
        <v>93</v>
      </c>
      <c r="M209" s="8">
        <v>46276</v>
      </c>
      <c r="N209" s="5" t="s">
        <v>23</v>
      </c>
      <c r="O209" s="5" t="s">
        <v>24</v>
      </c>
      <c r="P209" s="4" t="str">
        <f t="shared" si="7"/>
        <v>COMPLETO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7">
        <v>46113</v>
      </c>
      <c r="B210" s="2" t="s">
        <v>91</v>
      </c>
      <c r="C210" s="3" t="str">
        <f>IFERROR(VLOOKUP(B210,Referência!$A$5:$I$16,2,FALSE),"")</f>
        <v>Quantidade de partos por tipo</v>
      </c>
      <c r="D210" s="2" t="s">
        <v>25</v>
      </c>
      <c r="E210" s="2" t="s">
        <v>97</v>
      </c>
      <c r="F210" s="13">
        <v>13</v>
      </c>
      <c r="G210" s="15"/>
      <c r="H210" s="15"/>
      <c r="I210" s="14">
        <f t="shared" si="6"/>
        <v>13</v>
      </c>
      <c r="J210" s="4" t="str">
        <f>IFERROR(VLOOKUP(B210,Referência!$A$5:$I$16,9,FALSE),"")</f>
        <v>quantidade</v>
      </c>
      <c r="K210" s="6"/>
      <c r="L210" s="5" t="s">
        <v>93</v>
      </c>
      <c r="M210" s="8">
        <v>46276</v>
      </c>
      <c r="N210" s="5" t="s">
        <v>23</v>
      </c>
      <c r="O210" s="5" t="s">
        <v>24</v>
      </c>
      <c r="P210" s="4" t="str">
        <f t="shared" si="7"/>
        <v>COMPLETO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7">
        <v>46113</v>
      </c>
      <c r="B211" s="2" t="s">
        <v>91</v>
      </c>
      <c r="C211" s="3" t="str">
        <f>IFERROR(VLOOKUP(B211,Referência!$A$5:$I$16,2,FALSE),"")</f>
        <v>Quantidade de partos por tipo</v>
      </c>
      <c r="D211" s="2" t="s">
        <v>25</v>
      </c>
      <c r="E211" s="2" t="s">
        <v>98</v>
      </c>
      <c r="F211" s="13">
        <v>43</v>
      </c>
      <c r="G211" s="15"/>
      <c r="H211" s="15"/>
      <c r="I211" s="14">
        <f t="shared" si="6"/>
        <v>43</v>
      </c>
      <c r="J211" s="4" t="str">
        <f>IFERROR(VLOOKUP(B211,Referência!$A$5:$I$16,9,FALSE),"")</f>
        <v>quantidade</v>
      </c>
      <c r="K211" s="6"/>
      <c r="L211" s="5" t="s">
        <v>93</v>
      </c>
      <c r="M211" s="8">
        <v>46276</v>
      </c>
      <c r="N211" s="5" t="s">
        <v>23</v>
      </c>
      <c r="O211" s="5" t="s">
        <v>24</v>
      </c>
      <c r="P211" s="4" t="str">
        <f t="shared" si="7"/>
        <v>COMPLETO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7">
        <v>46143</v>
      </c>
      <c r="B212" s="2" t="s">
        <v>91</v>
      </c>
      <c r="C212" s="3" t="str">
        <f>IFERROR(VLOOKUP(B212,Referência!$A$5:$I$16,2,FALSE),"")</f>
        <v>Quantidade de partos por tipo</v>
      </c>
      <c r="D212" s="2" t="s">
        <v>19</v>
      </c>
      <c r="E212" s="2" t="s">
        <v>92</v>
      </c>
      <c r="F212" s="13">
        <v>18</v>
      </c>
      <c r="G212" s="15"/>
      <c r="H212" s="15"/>
      <c r="I212" s="14">
        <f t="shared" si="6"/>
        <v>18</v>
      </c>
      <c r="J212" s="4" t="str">
        <f>IFERROR(VLOOKUP(B212,Referência!$A$5:$I$16,9,FALSE),"")</f>
        <v>quantidade</v>
      </c>
      <c r="K212" s="6"/>
      <c r="L212" s="5" t="s">
        <v>93</v>
      </c>
      <c r="M212" s="8">
        <v>46276</v>
      </c>
      <c r="N212" s="5" t="s">
        <v>23</v>
      </c>
      <c r="O212" s="5" t="s">
        <v>24</v>
      </c>
      <c r="P212" s="4" t="str">
        <f t="shared" si="7"/>
        <v>COMPLETO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7">
        <v>46143</v>
      </c>
      <c r="B213" s="2" t="s">
        <v>91</v>
      </c>
      <c r="C213" s="3" t="str">
        <f>IFERROR(VLOOKUP(B213,Referência!$A$5:$I$16,2,FALSE),"")</f>
        <v>Quantidade de partos por tipo</v>
      </c>
      <c r="D213" s="2" t="s">
        <v>19</v>
      </c>
      <c r="E213" s="2" t="s">
        <v>94</v>
      </c>
      <c r="F213" s="13">
        <v>43</v>
      </c>
      <c r="G213" s="15"/>
      <c r="H213" s="15"/>
      <c r="I213" s="14">
        <f t="shared" si="6"/>
        <v>43</v>
      </c>
      <c r="J213" s="4" t="str">
        <f>IFERROR(VLOOKUP(B213,Referência!$A$5:$I$16,9,FALSE),"")</f>
        <v>quantidade</v>
      </c>
      <c r="K213" s="6"/>
      <c r="L213" s="5" t="s">
        <v>93</v>
      </c>
      <c r="M213" s="8">
        <v>46276</v>
      </c>
      <c r="N213" s="5" t="s">
        <v>23</v>
      </c>
      <c r="O213" s="5" t="s">
        <v>24</v>
      </c>
      <c r="P213" s="4" t="str">
        <f t="shared" si="7"/>
        <v>COMPLETO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7">
        <v>46143</v>
      </c>
      <c r="B214" s="2" t="s">
        <v>91</v>
      </c>
      <c r="C214" s="3" t="str">
        <f>IFERROR(VLOOKUP(B214,Referência!$A$5:$I$16,2,FALSE),"")</f>
        <v>Quantidade de partos por tipo</v>
      </c>
      <c r="D214" s="2" t="s">
        <v>19</v>
      </c>
      <c r="E214" s="2" t="s">
        <v>95</v>
      </c>
      <c r="F214" s="13">
        <v>15</v>
      </c>
      <c r="G214" s="15"/>
      <c r="H214" s="15"/>
      <c r="I214" s="14">
        <f t="shared" si="6"/>
        <v>15</v>
      </c>
      <c r="J214" s="4" t="str">
        <f>IFERROR(VLOOKUP(B214,Referência!$A$5:$I$16,9,FALSE),"")</f>
        <v>quantidade</v>
      </c>
      <c r="K214" s="6"/>
      <c r="L214" s="5" t="s">
        <v>93</v>
      </c>
      <c r="M214" s="8">
        <v>46276</v>
      </c>
      <c r="N214" s="5" t="s">
        <v>23</v>
      </c>
      <c r="O214" s="5" t="s">
        <v>24</v>
      </c>
      <c r="P214" s="4" t="str">
        <f t="shared" si="7"/>
        <v>COMPLETO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7">
        <v>46143</v>
      </c>
      <c r="B215" s="2" t="s">
        <v>91</v>
      </c>
      <c r="C215" s="3" t="str">
        <f>IFERROR(VLOOKUP(B215,Referência!$A$5:$I$16,2,FALSE),"")</f>
        <v>Quantidade de partos por tipo</v>
      </c>
      <c r="D215" s="2" t="s">
        <v>19</v>
      </c>
      <c r="E215" s="2" t="s">
        <v>96</v>
      </c>
      <c r="F215" s="13">
        <v>11</v>
      </c>
      <c r="G215" s="15"/>
      <c r="H215" s="15"/>
      <c r="I215" s="14">
        <f t="shared" si="6"/>
        <v>11</v>
      </c>
      <c r="J215" s="4" t="str">
        <f>IFERROR(VLOOKUP(B215,Referência!$A$5:$I$16,9,FALSE),"")</f>
        <v>quantidade</v>
      </c>
      <c r="K215" s="6"/>
      <c r="L215" s="5" t="s">
        <v>93</v>
      </c>
      <c r="M215" s="8">
        <v>46276</v>
      </c>
      <c r="N215" s="5" t="s">
        <v>23</v>
      </c>
      <c r="O215" s="5" t="s">
        <v>24</v>
      </c>
      <c r="P215" s="4" t="str">
        <f t="shared" si="7"/>
        <v>COMPLETO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7">
        <v>46143</v>
      </c>
      <c r="B216" s="2" t="s">
        <v>91</v>
      </c>
      <c r="C216" s="3" t="str">
        <f>IFERROR(VLOOKUP(B216,Referência!$A$5:$I$16,2,FALSE),"")</f>
        <v>Quantidade de partos por tipo</v>
      </c>
      <c r="D216" s="2" t="s">
        <v>25</v>
      </c>
      <c r="E216" s="2" t="s">
        <v>97</v>
      </c>
      <c r="F216" s="13">
        <v>19</v>
      </c>
      <c r="G216" s="15"/>
      <c r="H216" s="15"/>
      <c r="I216" s="14">
        <f t="shared" si="6"/>
        <v>19</v>
      </c>
      <c r="J216" s="4" t="str">
        <f>IFERROR(VLOOKUP(B216,Referência!$A$5:$I$16,9,FALSE),"")</f>
        <v>quantidade</v>
      </c>
      <c r="K216" s="6"/>
      <c r="L216" s="5" t="s">
        <v>93</v>
      </c>
      <c r="M216" s="8">
        <v>46276</v>
      </c>
      <c r="N216" s="5" t="s">
        <v>23</v>
      </c>
      <c r="O216" s="5" t="s">
        <v>24</v>
      </c>
      <c r="P216" s="4" t="str">
        <f t="shared" si="7"/>
        <v>COMPLETO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7">
        <v>46143</v>
      </c>
      <c r="B217" s="2" t="s">
        <v>91</v>
      </c>
      <c r="C217" s="3" t="str">
        <f>IFERROR(VLOOKUP(B217,Referência!$A$5:$I$16,2,FALSE),"")</f>
        <v>Quantidade de partos por tipo</v>
      </c>
      <c r="D217" s="2" t="s">
        <v>25</v>
      </c>
      <c r="E217" s="2" t="s">
        <v>98</v>
      </c>
      <c r="F217" s="13">
        <v>54</v>
      </c>
      <c r="G217" s="15"/>
      <c r="H217" s="15"/>
      <c r="I217" s="14">
        <f t="shared" si="6"/>
        <v>54</v>
      </c>
      <c r="J217" s="4" t="str">
        <f>IFERROR(VLOOKUP(B217,Referência!$A$5:$I$16,9,FALSE),"")</f>
        <v>quantidade</v>
      </c>
      <c r="K217" s="6"/>
      <c r="L217" s="5" t="s">
        <v>93</v>
      </c>
      <c r="M217" s="8">
        <v>46276</v>
      </c>
      <c r="N217" s="5" t="s">
        <v>23</v>
      </c>
      <c r="O217" s="5" t="s">
        <v>24</v>
      </c>
      <c r="P217" s="4" t="str">
        <f t="shared" si="7"/>
        <v>COMPLETO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7">
        <v>46174</v>
      </c>
      <c r="B218" s="2" t="s">
        <v>91</v>
      </c>
      <c r="C218" s="3" t="str">
        <f>IFERROR(VLOOKUP(B218,Referência!$A$5:$I$16,2,FALSE),"")</f>
        <v>Quantidade de partos por tipo</v>
      </c>
      <c r="D218" s="2" t="s">
        <v>19</v>
      </c>
      <c r="E218" s="2" t="s">
        <v>92</v>
      </c>
      <c r="F218" s="13">
        <v>22</v>
      </c>
      <c r="G218" s="15"/>
      <c r="H218" s="15"/>
      <c r="I218" s="14">
        <f t="shared" si="6"/>
        <v>22</v>
      </c>
      <c r="J218" s="4" t="str">
        <f>IFERROR(VLOOKUP(B218,Referência!$A$5:$I$16,9,FALSE),"")</f>
        <v>quantidade</v>
      </c>
      <c r="K218" s="6"/>
      <c r="L218" s="5" t="s">
        <v>93</v>
      </c>
      <c r="M218" s="8">
        <v>46276</v>
      </c>
      <c r="N218" s="5" t="s">
        <v>23</v>
      </c>
      <c r="O218" s="5" t="s">
        <v>24</v>
      </c>
      <c r="P218" s="4" t="str">
        <f t="shared" si="7"/>
        <v>COMPLETO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7">
        <v>46174</v>
      </c>
      <c r="B219" s="2" t="s">
        <v>91</v>
      </c>
      <c r="C219" s="3" t="str">
        <f>IFERROR(VLOOKUP(B219,Referência!$A$5:$I$16,2,FALSE),"")</f>
        <v>Quantidade de partos por tipo</v>
      </c>
      <c r="D219" s="2" t="s">
        <v>19</v>
      </c>
      <c r="E219" s="2" t="s">
        <v>94</v>
      </c>
      <c r="F219" s="13">
        <v>45</v>
      </c>
      <c r="G219" s="15"/>
      <c r="H219" s="15"/>
      <c r="I219" s="14">
        <f t="shared" si="6"/>
        <v>45</v>
      </c>
      <c r="J219" s="4" t="str">
        <f>IFERROR(VLOOKUP(B219,Referência!$A$5:$I$16,9,FALSE),"")</f>
        <v>quantidade</v>
      </c>
      <c r="K219" s="6"/>
      <c r="L219" s="5" t="s">
        <v>93</v>
      </c>
      <c r="M219" s="8">
        <v>46276</v>
      </c>
      <c r="N219" s="5" t="s">
        <v>23</v>
      </c>
      <c r="O219" s="5" t="s">
        <v>24</v>
      </c>
      <c r="P219" s="4" t="str">
        <f t="shared" si="7"/>
        <v>COMPLETO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7">
        <v>46174</v>
      </c>
      <c r="B220" s="2" t="s">
        <v>91</v>
      </c>
      <c r="C220" s="3" t="str">
        <f>IFERROR(VLOOKUP(B220,Referência!$A$5:$I$16,2,FALSE),"")</f>
        <v>Quantidade de partos por tipo</v>
      </c>
      <c r="D220" s="2" t="s">
        <v>19</v>
      </c>
      <c r="E220" s="2" t="s">
        <v>95</v>
      </c>
      <c r="F220" s="13">
        <v>14</v>
      </c>
      <c r="G220" s="15"/>
      <c r="H220" s="15"/>
      <c r="I220" s="14">
        <f t="shared" si="6"/>
        <v>14</v>
      </c>
      <c r="J220" s="4" t="str">
        <f>IFERROR(VLOOKUP(B220,Referência!$A$5:$I$16,9,FALSE),"")</f>
        <v>quantidade</v>
      </c>
      <c r="K220" s="6"/>
      <c r="L220" s="5" t="s">
        <v>93</v>
      </c>
      <c r="M220" s="8">
        <v>46276</v>
      </c>
      <c r="N220" s="5" t="s">
        <v>23</v>
      </c>
      <c r="O220" s="5" t="s">
        <v>24</v>
      </c>
      <c r="P220" s="4" t="str">
        <f t="shared" si="7"/>
        <v>COMPLETO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7">
        <v>46174</v>
      </c>
      <c r="B221" s="2" t="s">
        <v>91</v>
      </c>
      <c r="C221" s="3" t="str">
        <f>IFERROR(VLOOKUP(B221,Referência!$A$5:$I$16,2,FALSE),"")</f>
        <v>Quantidade de partos por tipo</v>
      </c>
      <c r="D221" s="2" t="s">
        <v>19</v>
      </c>
      <c r="E221" s="2" t="s">
        <v>96</v>
      </c>
      <c r="F221" s="13">
        <v>23</v>
      </c>
      <c r="G221" s="15"/>
      <c r="H221" s="15"/>
      <c r="I221" s="14">
        <f t="shared" si="6"/>
        <v>23</v>
      </c>
      <c r="J221" s="4" t="str">
        <f>IFERROR(VLOOKUP(B221,Referência!$A$5:$I$16,9,FALSE),"")</f>
        <v>quantidade</v>
      </c>
      <c r="K221" s="6"/>
      <c r="L221" s="5" t="s">
        <v>93</v>
      </c>
      <c r="M221" s="8">
        <v>46276</v>
      </c>
      <c r="N221" s="5" t="s">
        <v>23</v>
      </c>
      <c r="O221" s="5" t="s">
        <v>24</v>
      </c>
      <c r="P221" s="4" t="str">
        <f t="shared" si="7"/>
        <v>COMPLETO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7">
        <v>46174</v>
      </c>
      <c r="B222" s="2" t="s">
        <v>91</v>
      </c>
      <c r="C222" s="3" t="str">
        <f>IFERROR(VLOOKUP(B222,Referência!$A$5:$I$16,2,FALSE),"")</f>
        <v>Quantidade de partos por tipo</v>
      </c>
      <c r="D222" s="2" t="s">
        <v>25</v>
      </c>
      <c r="E222" s="2" t="s">
        <v>97</v>
      </c>
      <c r="F222" s="13">
        <v>17</v>
      </c>
      <c r="G222" s="15"/>
      <c r="H222" s="15"/>
      <c r="I222" s="14">
        <f t="shared" si="6"/>
        <v>17</v>
      </c>
      <c r="J222" s="4" t="str">
        <f>IFERROR(VLOOKUP(B222,Referência!$A$5:$I$16,9,FALSE),"")</f>
        <v>quantidade</v>
      </c>
      <c r="K222" s="6"/>
      <c r="L222" s="5" t="s">
        <v>93</v>
      </c>
      <c r="M222" s="8">
        <v>46276</v>
      </c>
      <c r="N222" s="5" t="s">
        <v>23</v>
      </c>
      <c r="O222" s="5" t="s">
        <v>24</v>
      </c>
      <c r="P222" s="4" t="str">
        <f t="shared" si="7"/>
        <v>COMPLETO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7">
        <v>46174</v>
      </c>
      <c r="B223" s="2" t="s">
        <v>91</v>
      </c>
      <c r="C223" s="3" t="str">
        <f>IFERROR(VLOOKUP(B223,Referência!$A$5:$I$16,2,FALSE),"")</f>
        <v>Quantidade de partos por tipo</v>
      </c>
      <c r="D223" s="2" t="s">
        <v>25</v>
      </c>
      <c r="E223" s="2" t="s">
        <v>98</v>
      </c>
      <c r="F223" s="13">
        <v>38</v>
      </c>
      <c r="G223" s="15"/>
      <c r="H223" s="15"/>
      <c r="I223" s="14">
        <f t="shared" si="6"/>
        <v>38</v>
      </c>
      <c r="J223" s="4" t="str">
        <f>IFERROR(VLOOKUP(B223,Referência!$A$5:$I$16,9,FALSE),"")</f>
        <v>quantidade</v>
      </c>
      <c r="K223" s="6"/>
      <c r="L223" s="5" t="s">
        <v>93</v>
      </c>
      <c r="M223" s="8">
        <v>46276</v>
      </c>
      <c r="N223" s="5" t="s">
        <v>23</v>
      </c>
      <c r="O223" s="5" t="s">
        <v>24</v>
      </c>
      <c r="P223" s="4" t="str">
        <f t="shared" si="7"/>
        <v>COMPLETO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7">
        <v>46204</v>
      </c>
      <c r="B224" s="2" t="s">
        <v>91</v>
      </c>
      <c r="C224" s="3" t="str">
        <f>IFERROR(VLOOKUP(B224,Referência!$A$5:$I$16,2,FALSE),"")</f>
        <v>Quantidade de partos por tipo</v>
      </c>
      <c r="D224" s="2" t="s">
        <v>19</v>
      </c>
      <c r="E224" s="2" t="s">
        <v>92</v>
      </c>
      <c r="F224" s="13">
        <v>16</v>
      </c>
      <c r="G224" s="15"/>
      <c r="H224" s="15"/>
      <c r="I224" s="14">
        <f t="shared" si="6"/>
        <v>16</v>
      </c>
      <c r="J224" s="4" t="str">
        <f>IFERROR(VLOOKUP(B224,Referência!$A$5:$I$16,9,FALSE),"")</f>
        <v>quantidade</v>
      </c>
      <c r="K224" s="6"/>
      <c r="L224" s="5" t="s">
        <v>93</v>
      </c>
      <c r="M224" s="8">
        <v>46276</v>
      </c>
      <c r="N224" s="5" t="s">
        <v>23</v>
      </c>
      <c r="O224" s="5" t="s">
        <v>24</v>
      </c>
      <c r="P224" s="4" t="str">
        <f t="shared" si="7"/>
        <v>COMPLETO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7">
        <v>46204</v>
      </c>
      <c r="B225" s="2" t="s">
        <v>91</v>
      </c>
      <c r="C225" s="3" t="str">
        <f>IFERROR(VLOOKUP(B225,Referência!$A$5:$I$16,2,FALSE),"")</f>
        <v>Quantidade de partos por tipo</v>
      </c>
      <c r="D225" s="2" t="s">
        <v>19</v>
      </c>
      <c r="E225" s="2" t="s">
        <v>94</v>
      </c>
      <c r="F225" s="13">
        <v>42</v>
      </c>
      <c r="G225" s="15"/>
      <c r="H225" s="15"/>
      <c r="I225" s="14">
        <f t="shared" si="6"/>
        <v>42</v>
      </c>
      <c r="J225" s="4" t="str">
        <f>IFERROR(VLOOKUP(B225,Referência!$A$5:$I$16,9,FALSE),"")</f>
        <v>quantidade</v>
      </c>
      <c r="K225" s="6"/>
      <c r="L225" s="5" t="s">
        <v>93</v>
      </c>
      <c r="M225" s="8">
        <v>46276</v>
      </c>
      <c r="N225" s="5" t="s">
        <v>23</v>
      </c>
      <c r="O225" s="5" t="s">
        <v>24</v>
      </c>
      <c r="P225" s="4" t="str">
        <f t="shared" si="7"/>
        <v>COMPLETO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7">
        <v>46204</v>
      </c>
      <c r="B226" s="2" t="s">
        <v>91</v>
      </c>
      <c r="C226" s="3" t="str">
        <f>IFERROR(VLOOKUP(B226,Referência!$A$5:$I$16,2,FALSE),"")</f>
        <v>Quantidade de partos por tipo</v>
      </c>
      <c r="D226" s="2" t="s">
        <v>19</v>
      </c>
      <c r="E226" s="2" t="s">
        <v>95</v>
      </c>
      <c r="F226" s="13">
        <v>10</v>
      </c>
      <c r="G226" s="15"/>
      <c r="H226" s="15"/>
      <c r="I226" s="14">
        <f t="shared" si="6"/>
        <v>10</v>
      </c>
      <c r="J226" s="4" t="str">
        <f>IFERROR(VLOOKUP(B226,Referência!$A$5:$I$16,9,FALSE),"")</f>
        <v>quantidade</v>
      </c>
      <c r="K226" s="6"/>
      <c r="L226" s="5" t="s">
        <v>93</v>
      </c>
      <c r="M226" s="8">
        <v>46276</v>
      </c>
      <c r="N226" s="5" t="s">
        <v>23</v>
      </c>
      <c r="O226" s="5" t="s">
        <v>24</v>
      </c>
      <c r="P226" s="4" t="str">
        <f t="shared" si="7"/>
        <v>COMPLETO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7">
        <v>46204</v>
      </c>
      <c r="B227" s="2" t="s">
        <v>91</v>
      </c>
      <c r="C227" s="3" t="str">
        <f>IFERROR(VLOOKUP(B227,Referência!$A$5:$I$16,2,FALSE),"")</f>
        <v>Quantidade de partos por tipo</v>
      </c>
      <c r="D227" s="2" t="s">
        <v>19</v>
      </c>
      <c r="E227" s="2" t="s">
        <v>96</v>
      </c>
      <c r="F227" s="13">
        <v>17</v>
      </c>
      <c r="G227" s="15"/>
      <c r="H227" s="15"/>
      <c r="I227" s="14">
        <f t="shared" si="6"/>
        <v>17</v>
      </c>
      <c r="J227" s="4" t="str">
        <f>IFERROR(VLOOKUP(B227,Referência!$A$5:$I$16,9,FALSE),"")</f>
        <v>quantidade</v>
      </c>
      <c r="K227" s="6"/>
      <c r="L227" s="5" t="s">
        <v>93</v>
      </c>
      <c r="M227" s="8">
        <v>46276</v>
      </c>
      <c r="N227" s="5" t="s">
        <v>23</v>
      </c>
      <c r="O227" s="5" t="s">
        <v>24</v>
      </c>
      <c r="P227" s="4" t="str">
        <f t="shared" si="7"/>
        <v>COMPLETO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7">
        <v>46204</v>
      </c>
      <c r="B228" s="2" t="s">
        <v>91</v>
      </c>
      <c r="C228" s="3" t="str">
        <f>IFERROR(VLOOKUP(B228,Referência!$A$5:$I$16,2,FALSE),"")</f>
        <v>Quantidade de partos por tipo</v>
      </c>
      <c r="D228" s="2" t="s">
        <v>25</v>
      </c>
      <c r="E228" s="2" t="s">
        <v>97</v>
      </c>
      <c r="F228" s="13">
        <v>23</v>
      </c>
      <c r="G228" s="15"/>
      <c r="H228" s="15"/>
      <c r="I228" s="14">
        <f t="shared" si="6"/>
        <v>23</v>
      </c>
      <c r="J228" s="4" t="str">
        <f>IFERROR(VLOOKUP(B228,Referência!$A$5:$I$16,9,FALSE),"")</f>
        <v>quantidade</v>
      </c>
      <c r="K228" s="6"/>
      <c r="L228" s="5" t="s">
        <v>93</v>
      </c>
      <c r="M228" s="8">
        <v>46276</v>
      </c>
      <c r="N228" s="5" t="s">
        <v>23</v>
      </c>
      <c r="O228" s="5" t="s">
        <v>24</v>
      </c>
      <c r="P228" s="4" t="str">
        <f t="shared" si="7"/>
        <v>COMPLETO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7">
        <v>46204</v>
      </c>
      <c r="B229" s="2" t="s">
        <v>91</v>
      </c>
      <c r="C229" s="3" t="str">
        <f>IFERROR(VLOOKUP(B229,Referência!$A$5:$I$16,2,FALSE),"")</f>
        <v>Quantidade de partos por tipo</v>
      </c>
      <c r="D229" s="2" t="s">
        <v>25</v>
      </c>
      <c r="E229" s="2" t="s">
        <v>98</v>
      </c>
      <c r="F229" s="13">
        <v>38</v>
      </c>
      <c r="G229" s="15"/>
      <c r="H229" s="15"/>
      <c r="I229" s="14">
        <f t="shared" si="6"/>
        <v>38</v>
      </c>
      <c r="J229" s="4" t="str">
        <f>IFERROR(VLOOKUP(B229,Referência!$A$5:$I$16,9,FALSE),"")</f>
        <v>quantidade</v>
      </c>
      <c r="K229" s="6"/>
      <c r="L229" s="5" t="s">
        <v>93</v>
      </c>
      <c r="M229" s="8">
        <v>46276</v>
      </c>
      <c r="N229" s="5" t="s">
        <v>23</v>
      </c>
      <c r="O229" s="5" t="s">
        <v>24</v>
      </c>
      <c r="P229" s="4" t="str">
        <f t="shared" si="7"/>
        <v>COMPLETO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7">
        <v>46235</v>
      </c>
      <c r="B230" s="2" t="s">
        <v>91</v>
      </c>
      <c r="C230" s="3" t="str">
        <f>IFERROR(VLOOKUP(B230,Referência!$A$5:$I$16,2,FALSE),"")</f>
        <v>Quantidade de partos por tipo</v>
      </c>
      <c r="D230" s="2" t="s">
        <v>19</v>
      </c>
      <c r="E230" s="2" t="s">
        <v>92</v>
      </c>
      <c r="F230" s="13">
        <v>22</v>
      </c>
      <c r="G230" s="15"/>
      <c r="H230" s="15"/>
      <c r="I230" s="14">
        <f t="shared" si="6"/>
        <v>22</v>
      </c>
      <c r="J230" s="4" t="str">
        <f>IFERROR(VLOOKUP(B230,Referência!$A$5:$I$16,9,FALSE),"")</f>
        <v>quantidade</v>
      </c>
      <c r="K230" s="6"/>
      <c r="L230" s="5" t="s">
        <v>93</v>
      </c>
      <c r="M230" s="8">
        <v>46276</v>
      </c>
      <c r="N230" s="5" t="s">
        <v>23</v>
      </c>
      <c r="O230" s="5" t="s">
        <v>24</v>
      </c>
      <c r="P230" s="4" t="str">
        <f t="shared" si="7"/>
        <v>COMPLETO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7">
        <v>46235</v>
      </c>
      <c r="B231" s="2" t="s">
        <v>91</v>
      </c>
      <c r="C231" s="3" t="str">
        <f>IFERROR(VLOOKUP(B231,Referência!$A$5:$I$16,2,FALSE),"")</f>
        <v>Quantidade de partos por tipo</v>
      </c>
      <c r="D231" s="2" t="s">
        <v>19</v>
      </c>
      <c r="E231" s="2" t="s">
        <v>94</v>
      </c>
      <c r="F231" s="13">
        <v>52</v>
      </c>
      <c r="G231" s="15"/>
      <c r="H231" s="15"/>
      <c r="I231" s="14">
        <f t="shared" si="6"/>
        <v>52</v>
      </c>
      <c r="J231" s="4" t="str">
        <f>IFERROR(VLOOKUP(B231,Referência!$A$5:$I$16,9,FALSE),"")</f>
        <v>quantidade</v>
      </c>
      <c r="K231" s="6"/>
      <c r="L231" s="5" t="s">
        <v>93</v>
      </c>
      <c r="M231" s="8">
        <v>46276</v>
      </c>
      <c r="N231" s="5" t="s">
        <v>23</v>
      </c>
      <c r="O231" s="5" t="s">
        <v>24</v>
      </c>
      <c r="P231" s="4" t="str">
        <f t="shared" si="7"/>
        <v>COMPLETO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7">
        <v>46235</v>
      </c>
      <c r="B232" s="2" t="s">
        <v>91</v>
      </c>
      <c r="C232" s="3" t="str">
        <f>IFERROR(VLOOKUP(B232,Referência!$A$5:$I$16,2,FALSE),"")</f>
        <v>Quantidade de partos por tipo</v>
      </c>
      <c r="D232" s="2" t="s">
        <v>19</v>
      </c>
      <c r="E232" s="2" t="s">
        <v>95</v>
      </c>
      <c r="F232" s="13">
        <v>15</v>
      </c>
      <c r="G232" s="15"/>
      <c r="H232" s="15"/>
      <c r="I232" s="14">
        <f t="shared" si="6"/>
        <v>15</v>
      </c>
      <c r="J232" s="4" t="str">
        <f>IFERROR(VLOOKUP(B232,Referência!$A$5:$I$16,9,FALSE),"")</f>
        <v>quantidade</v>
      </c>
      <c r="K232" s="6"/>
      <c r="L232" s="5" t="s">
        <v>93</v>
      </c>
      <c r="M232" s="8">
        <v>46276</v>
      </c>
      <c r="N232" s="5" t="s">
        <v>23</v>
      </c>
      <c r="O232" s="5" t="s">
        <v>24</v>
      </c>
      <c r="P232" s="4" t="str">
        <f t="shared" si="7"/>
        <v>COMPLETO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7">
        <v>46235</v>
      </c>
      <c r="B233" s="2" t="s">
        <v>91</v>
      </c>
      <c r="C233" s="3" t="str">
        <f>IFERROR(VLOOKUP(B233,Referência!$A$5:$I$16,2,FALSE),"")</f>
        <v>Quantidade de partos por tipo</v>
      </c>
      <c r="D233" s="2" t="s">
        <v>19</v>
      </c>
      <c r="E233" s="2" t="s">
        <v>96</v>
      </c>
      <c r="F233" s="13">
        <v>14</v>
      </c>
      <c r="G233" s="15"/>
      <c r="H233" s="15"/>
      <c r="I233" s="14">
        <f t="shared" si="6"/>
        <v>14</v>
      </c>
      <c r="J233" s="4" t="str">
        <f>IFERROR(VLOOKUP(B233,Referência!$A$5:$I$16,9,FALSE),"")</f>
        <v>quantidade</v>
      </c>
      <c r="K233" s="6"/>
      <c r="L233" s="5" t="s">
        <v>93</v>
      </c>
      <c r="M233" s="8">
        <v>46276</v>
      </c>
      <c r="N233" s="5" t="s">
        <v>23</v>
      </c>
      <c r="O233" s="5" t="s">
        <v>24</v>
      </c>
      <c r="P233" s="4" t="str">
        <f t="shared" si="7"/>
        <v>COMPLETO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7">
        <v>46235</v>
      </c>
      <c r="B234" s="2" t="s">
        <v>91</v>
      </c>
      <c r="C234" s="3" t="str">
        <f>IFERROR(VLOOKUP(B234,Referência!$A$5:$I$16,2,FALSE),"")</f>
        <v>Quantidade de partos por tipo</v>
      </c>
      <c r="D234" s="2" t="s">
        <v>25</v>
      </c>
      <c r="E234" s="2" t="s">
        <v>97</v>
      </c>
      <c r="F234" s="13">
        <v>19</v>
      </c>
      <c r="G234" s="15"/>
      <c r="H234" s="15"/>
      <c r="I234" s="14">
        <f t="shared" si="6"/>
        <v>19</v>
      </c>
      <c r="J234" s="4" t="str">
        <f>IFERROR(VLOOKUP(B234,Referência!$A$5:$I$16,9,FALSE),"")</f>
        <v>quantidade</v>
      </c>
      <c r="K234" s="6"/>
      <c r="L234" s="5" t="s">
        <v>93</v>
      </c>
      <c r="M234" s="8">
        <v>46276</v>
      </c>
      <c r="N234" s="5" t="s">
        <v>23</v>
      </c>
      <c r="O234" s="5" t="s">
        <v>24</v>
      </c>
      <c r="P234" s="4" t="str">
        <f t="shared" si="7"/>
        <v>COMPLETO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7">
        <v>46235</v>
      </c>
      <c r="B235" s="2" t="s">
        <v>91</v>
      </c>
      <c r="C235" s="3" t="str">
        <f>IFERROR(VLOOKUP(B235,Referência!$A$5:$I$16,2,FALSE),"")</f>
        <v>Quantidade de partos por tipo</v>
      </c>
      <c r="D235" s="2" t="s">
        <v>25</v>
      </c>
      <c r="E235" s="2" t="s">
        <v>98</v>
      </c>
      <c r="F235" s="13">
        <v>53</v>
      </c>
      <c r="G235" s="15"/>
      <c r="H235" s="15"/>
      <c r="I235" s="14">
        <f t="shared" si="6"/>
        <v>53</v>
      </c>
      <c r="J235" s="4" t="str">
        <f>IFERROR(VLOOKUP(B235,Referência!$A$5:$I$16,9,FALSE),"")</f>
        <v>quantidade</v>
      </c>
      <c r="K235" s="6"/>
      <c r="L235" s="5" t="s">
        <v>93</v>
      </c>
      <c r="M235" s="8">
        <v>46276</v>
      </c>
      <c r="N235" s="5" t="s">
        <v>23</v>
      </c>
      <c r="O235" s="5" t="s">
        <v>24</v>
      </c>
      <c r="P235" s="4" t="str">
        <f t="shared" si="7"/>
        <v>COMPLETO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7">
        <v>46023</v>
      </c>
      <c r="B236" s="2" t="s">
        <v>99</v>
      </c>
      <c r="C236" s="3" t="str">
        <f>IFERROR(VLOOKUP(B236,Referência!$A$5:$I$16,2,FALSE),"")</f>
        <v>Tempo médio de espera porta-médico hospitalar</v>
      </c>
      <c r="D236" s="2" t="s">
        <v>85</v>
      </c>
      <c r="E236" s="2" t="s">
        <v>100</v>
      </c>
      <c r="F236" s="11">
        <v>26</v>
      </c>
      <c r="G236" s="15">
        <v>13520</v>
      </c>
      <c r="H236" s="15">
        <v>520</v>
      </c>
      <c r="I236" s="12">
        <f t="shared" si="6"/>
        <v>26</v>
      </c>
      <c r="J236" s="4" t="str">
        <f>IFERROR(VLOOKUP(B236,Referência!$A$5:$I$16,9,FALSE),"")</f>
        <v>minutos</v>
      </c>
      <c r="K236" s="6"/>
      <c r="L236" s="5" t="s">
        <v>101</v>
      </c>
      <c r="M236" s="8">
        <v>46276</v>
      </c>
      <c r="N236" s="5" t="s">
        <v>88</v>
      </c>
      <c r="O236" s="5" t="s">
        <v>24</v>
      </c>
      <c r="P236" s="4" t="str">
        <f t="shared" si="7"/>
        <v>COMPLETO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7">
        <v>46023</v>
      </c>
      <c r="B237" s="2" t="s">
        <v>99</v>
      </c>
      <c r="C237" s="3" t="str">
        <f>IFERROR(VLOOKUP(B237,Referência!$A$5:$I$16,2,FALSE),"")</f>
        <v>Tempo médio de espera porta-médico hospitalar</v>
      </c>
      <c r="D237" s="2" t="s">
        <v>85</v>
      </c>
      <c r="E237" s="2" t="s">
        <v>102</v>
      </c>
      <c r="F237" s="11">
        <v>24</v>
      </c>
      <c r="G237" s="15">
        <v>3120</v>
      </c>
      <c r="H237" s="15">
        <v>130</v>
      </c>
      <c r="I237" s="12">
        <f t="shared" si="6"/>
        <v>24</v>
      </c>
      <c r="J237" s="4" t="str">
        <f>IFERROR(VLOOKUP(B237,Referência!$A$5:$I$16,9,FALSE),"")</f>
        <v>minutos</v>
      </c>
      <c r="K237" s="6"/>
      <c r="L237" s="5" t="s">
        <v>101</v>
      </c>
      <c r="M237" s="8">
        <v>46276</v>
      </c>
      <c r="N237" s="5" t="s">
        <v>88</v>
      </c>
      <c r="O237" s="5" t="s">
        <v>24</v>
      </c>
      <c r="P237" s="4" t="str">
        <f t="shared" si="7"/>
        <v>COMPLETO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7">
        <v>46023</v>
      </c>
      <c r="B238" s="2" t="s">
        <v>99</v>
      </c>
      <c r="C238" s="3" t="str">
        <f>IFERROR(VLOOKUP(B238,Referência!$A$5:$I$16,2,FALSE),"")</f>
        <v>Tempo médio de espera porta-médico hospitalar</v>
      </c>
      <c r="D238" s="2" t="s">
        <v>85</v>
      </c>
      <c r="E238" s="2" t="s">
        <v>103</v>
      </c>
      <c r="F238" s="11">
        <v>26</v>
      </c>
      <c r="G238" s="15">
        <v>8840</v>
      </c>
      <c r="H238" s="15">
        <v>340</v>
      </c>
      <c r="I238" s="12">
        <f t="shared" si="6"/>
        <v>26</v>
      </c>
      <c r="J238" s="4" t="str">
        <f>IFERROR(VLOOKUP(B238,Referência!$A$5:$I$16,9,FALSE),"")</f>
        <v>minutos</v>
      </c>
      <c r="K238" s="6"/>
      <c r="L238" s="5" t="s">
        <v>101</v>
      </c>
      <c r="M238" s="8">
        <v>46276</v>
      </c>
      <c r="N238" s="5" t="s">
        <v>88</v>
      </c>
      <c r="O238" s="5" t="s">
        <v>24</v>
      </c>
      <c r="P238" s="4" t="str">
        <f t="shared" si="7"/>
        <v>COMPLETO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7">
        <v>46054</v>
      </c>
      <c r="B239" s="2" t="s">
        <v>99</v>
      </c>
      <c r="C239" s="3" t="str">
        <f>IFERROR(VLOOKUP(B239,Referência!$A$5:$I$16,2,FALSE),"")</f>
        <v>Tempo médio de espera porta-médico hospitalar</v>
      </c>
      <c r="D239" s="2" t="s">
        <v>85</v>
      </c>
      <c r="E239" s="2" t="s">
        <v>100</v>
      </c>
      <c r="F239" s="11">
        <v>22</v>
      </c>
      <c r="G239" s="15">
        <v>11000</v>
      </c>
      <c r="H239" s="15">
        <v>500</v>
      </c>
      <c r="I239" s="12">
        <f t="shared" si="6"/>
        <v>22</v>
      </c>
      <c r="J239" s="4" t="str">
        <f>IFERROR(VLOOKUP(B239,Referência!$A$5:$I$16,9,FALSE),"")</f>
        <v>minutos</v>
      </c>
      <c r="K239" s="6"/>
      <c r="L239" s="5" t="s">
        <v>101</v>
      </c>
      <c r="M239" s="8">
        <v>46276</v>
      </c>
      <c r="N239" s="5" t="s">
        <v>88</v>
      </c>
      <c r="O239" s="5" t="s">
        <v>24</v>
      </c>
      <c r="P239" s="4" t="str">
        <f t="shared" si="7"/>
        <v>COMPLETO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7">
        <v>46054</v>
      </c>
      <c r="B240" s="2" t="s">
        <v>99</v>
      </c>
      <c r="C240" s="3" t="str">
        <f>IFERROR(VLOOKUP(B240,Referência!$A$5:$I$16,2,FALSE),"")</f>
        <v>Tempo médio de espera porta-médico hospitalar</v>
      </c>
      <c r="D240" s="2" t="s">
        <v>85</v>
      </c>
      <c r="E240" s="2" t="s">
        <v>102</v>
      </c>
      <c r="F240" s="11">
        <v>21</v>
      </c>
      <c r="G240" s="15">
        <v>2625</v>
      </c>
      <c r="H240" s="15">
        <v>125</v>
      </c>
      <c r="I240" s="12">
        <f t="shared" si="6"/>
        <v>21</v>
      </c>
      <c r="J240" s="4" t="str">
        <f>IFERROR(VLOOKUP(B240,Referência!$A$5:$I$16,9,FALSE),"")</f>
        <v>minutos</v>
      </c>
      <c r="K240" s="6"/>
      <c r="L240" s="5" t="s">
        <v>101</v>
      </c>
      <c r="M240" s="8">
        <v>46276</v>
      </c>
      <c r="N240" s="5" t="s">
        <v>88</v>
      </c>
      <c r="O240" s="5" t="s">
        <v>24</v>
      </c>
      <c r="P240" s="4" t="str">
        <f t="shared" si="7"/>
        <v>COMPLETO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7">
        <v>46054</v>
      </c>
      <c r="B241" s="2" t="s">
        <v>99</v>
      </c>
      <c r="C241" s="3" t="str">
        <f>IFERROR(VLOOKUP(B241,Referência!$A$5:$I$16,2,FALSE),"")</f>
        <v>Tempo médio de espera porta-médico hospitalar</v>
      </c>
      <c r="D241" s="2" t="s">
        <v>85</v>
      </c>
      <c r="E241" s="2" t="s">
        <v>103</v>
      </c>
      <c r="F241" s="11">
        <v>22</v>
      </c>
      <c r="G241" s="15">
        <v>7260</v>
      </c>
      <c r="H241" s="15">
        <v>330</v>
      </c>
      <c r="I241" s="12">
        <f t="shared" si="6"/>
        <v>22</v>
      </c>
      <c r="J241" s="4" t="str">
        <f>IFERROR(VLOOKUP(B241,Referência!$A$5:$I$16,9,FALSE),"")</f>
        <v>minutos</v>
      </c>
      <c r="K241" s="6"/>
      <c r="L241" s="5" t="s">
        <v>101</v>
      </c>
      <c r="M241" s="8">
        <v>46276</v>
      </c>
      <c r="N241" s="5" t="s">
        <v>88</v>
      </c>
      <c r="O241" s="5" t="s">
        <v>24</v>
      </c>
      <c r="P241" s="4" t="str">
        <f t="shared" si="7"/>
        <v>COMPLETO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7">
        <v>46082</v>
      </c>
      <c r="B242" s="2" t="s">
        <v>99</v>
      </c>
      <c r="C242" s="3" t="str">
        <f>IFERROR(VLOOKUP(B242,Referência!$A$5:$I$16,2,FALSE),"")</f>
        <v>Tempo médio de espera porta-médico hospitalar</v>
      </c>
      <c r="D242" s="2" t="s">
        <v>85</v>
      </c>
      <c r="E242" s="2" t="s">
        <v>100</v>
      </c>
      <c r="F242" s="11">
        <v>22</v>
      </c>
      <c r="G242" s="15">
        <v>11880</v>
      </c>
      <c r="H242" s="15">
        <v>540</v>
      </c>
      <c r="I242" s="12">
        <f t="shared" si="6"/>
        <v>22</v>
      </c>
      <c r="J242" s="4" t="str">
        <f>IFERROR(VLOOKUP(B242,Referência!$A$5:$I$16,9,FALSE),"")</f>
        <v>minutos</v>
      </c>
      <c r="K242" s="6"/>
      <c r="L242" s="5" t="s">
        <v>101</v>
      </c>
      <c r="M242" s="8">
        <v>46276</v>
      </c>
      <c r="N242" s="5" t="s">
        <v>88</v>
      </c>
      <c r="O242" s="5" t="s">
        <v>24</v>
      </c>
      <c r="P242" s="4" t="str">
        <f t="shared" si="7"/>
        <v>COMPLETO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7">
        <v>46082</v>
      </c>
      <c r="B243" s="2" t="s">
        <v>99</v>
      </c>
      <c r="C243" s="3" t="str">
        <f>IFERROR(VLOOKUP(B243,Referência!$A$5:$I$16,2,FALSE),"")</f>
        <v>Tempo médio de espera porta-médico hospitalar</v>
      </c>
      <c r="D243" s="2" t="s">
        <v>85</v>
      </c>
      <c r="E243" s="2" t="s">
        <v>102</v>
      </c>
      <c r="F243" s="11">
        <v>21</v>
      </c>
      <c r="G243" s="15">
        <v>2835</v>
      </c>
      <c r="H243" s="15">
        <v>135</v>
      </c>
      <c r="I243" s="12">
        <f t="shared" si="6"/>
        <v>21</v>
      </c>
      <c r="J243" s="4" t="str">
        <f>IFERROR(VLOOKUP(B243,Referência!$A$5:$I$16,9,FALSE),"")</f>
        <v>minutos</v>
      </c>
      <c r="K243" s="6"/>
      <c r="L243" s="5" t="s">
        <v>101</v>
      </c>
      <c r="M243" s="8">
        <v>46276</v>
      </c>
      <c r="N243" s="5" t="s">
        <v>88</v>
      </c>
      <c r="O243" s="5" t="s">
        <v>24</v>
      </c>
      <c r="P243" s="4" t="str">
        <f t="shared" si="7"/>
        <v>COMPLETO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7">
        <v>46082</v>
      </c>
      <c r="B244" s="2" t="s">
        <v>99</v>
      </c>
      <c r="C244" s="3" t="str">
        <f>IFERROR(VLOOKUP(B244,Referência!$A$5:$I$16,2,FALSE),"")</f>
        <v>Tempo médio de espera porta-médico hospitalar</v>
      </c>
      <c r="D244" s="2" t="s">
        <v>85</v>
      </c>
      <c r="E244" s="2" t="s">
        <v>103</v>
      </c>
      <c r="F244" s="11">
        <v>25</v>
      </c>
      <c r="G244" s="15">
        <v>8750</v>
      </c>
      <c r="H244" s="15">
        <v>350</v>
      </c>
      <c r="I244" s="12">
        <f t="shared" si="6"/>
        <v>25</v>
      </c>
      <c r="J244" s="4" t="str">
        <f>IFERROR(VLOOKUP(B244,Referência!$A$5:$I$16,9,FALSE),"")</f>
        <v>minutos</v>
      </c>
      <c r="K244" s="6"/>
      <c r="L244" s="5" t="s">
        <v>101</v>
      </c>
      <c r="M244" s="8">
        <v>46276</v>
      </c>
      <c r="N244" s="5" t="s">
        <v>88</v>
      </c>
      <c r="O244" s="5" t="s">
        <v>24</v>
      </c>
      <c r="P244" s="4" t="str">
        <f t="shared" si="7"/>
        <v>COMPLETO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7">
        <v>46113</v>
      </c>
      <c r="B245" s="2" t="s">
        <v>99</v>
      </c>
      <c r="C245" s="3" t="str">
        <f>IFERROR(VLOOKUP(B245,Referência!$A$5:$I$16,2,FALSE),"")</f>
        <v>Tempo médio de espera porta-médico hospitalar</v>
      </c>
      <c r="D245" s="2" t="s">
        <v>85</v>
      </c>
      <c r="E245" s="2" t="s">
        <v>100</v>
      </c>
      <c r="F245" s="11">
        <v>23</v>
      </c>
      <c r="G245" s="15">
        <v>11730</v>
      </c>
      <c r="H245" s="15">
        <v>510</v>
      </c>
      <c r="I245" s="12">
        <f t="shared" si="6"/>
        <v>23</v>
      </c>
      <c r="J245" s="4" t="str">
        <f>IFERROR(VLOOKUP(B245,Referência!$A$5:$I$16,9,FALSE),"")</f>
        <v>minutos</v>
      </c>
      <c r="K245" s="6"/>
      <c r="L245" s="5" t="s">
        <v>101</v>
      </c>
      <c r="M245" s="8">
        <v>46276</v>
      </c>
      <c r="N245" s="5" t="s">
        <v>88</v>
      </c>
      <c r="O245" s="5" t="s">
        <v>24</v>
      </c>
      <c r="P245" s="4" t="str">
        <f t="shared" si="7"/>
        <v>COMPLETO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7">
        <v>46113</v>
      </c>
      <c r="B246" s="2" t="s">
        <v>99</v>
      </c>
      <c r="C246" s="3" t="str">
        <f>IFERROR(VLOOKUP(B246,Referência!$A$5:$I$16,2,FALSE),"")</f>
        <v>Tempo médio de espera porta-médico hospitalar</v>
      </c>
      <c r="D246" s="2" t="s">
        <v>85</v>
      </c>
      <c r="E246" s="2" t="s">
        <v>102</v>
      </c>
      <c r="F246" s="11">
        <v>21</v>
      </c>
      <c r="G246" s="15">
        <v>2688</v>
      </c>
      <c r="H246" s="15">
        <v>128</v>
      </c>
      <c r="I246" s="12">
        <f t="shared" si="6"/>
        <v>21</v>
      </c>
      <c r="J246" s="4" t="str">
        <f>IFERROR(VLOOKUP(B246,Referência!$A$5:$I$16,9,FALSE),"")</f>
        <v>minutos</v>
      </c>
      <c r="K246" s="6"/>
      <c r="L246" s="5" t="s">
        <v>101</v>
      </c>
      <c r="M246" s="8">
        <v>46276</v>
      </c>
      <c r="N246" s="5" t="s">
        <v>88</v>
      </c>
      <c r="O246" s="5" t="s">
        <v>24</v>
      </c>
      <c r="P246" s="4" t="str">
        <f t="shared" si="7"/>
        <v>COMPLETO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7">
        <v>46113</v>
      </c>
      <c r="B247" s="2" t="s">
        <v>99</v>
      </c>
      <c r="C247" s="3" t="str">
        <f>IFERROR(VLOOKUP(B247,Referência!$A$5:$I$16,2,FALSE),"")</f>
        <v>Tempo médio de espera porta-médico hospitalar</v>
      </c>
      <c r="D247" s="2" t="s">
        <v>85</v>
      </c>
      <c r="E247" s="2" t="s">
        <v>103</v>
      </c>
      <c r="F247" s="11">
        <v>24</v>
      </c>
      <c r="G247" s="15">
        <v>8040</v>
      </c>
      <c r="H247" s="15">
        <v>335</v>
      </c>
      <c r="I247" s="12">
        <f t="shared" si="6"/>
        <v>24</v>
      </c>
      <c r="J247" s="4" t="str">
        <f>IFERROR(VLOOKUP(B247,Referência!$A$5:$I$16,9,FALSE),"")</f>
        <v>minutos</v>
      </c>
      <c r="K247" s="6"/>
      <c r="L247" s="5" t="s">
        <v>101</v>
      </c>
      <c r="M247" s="8">
        <v>46276</v>
      </c>
      <c r="N247" s="5" t="s">
        <v>88</v>
      </c>
      <c r="O247" s="5" t="s">
        <v>24</v>
      </c>
      <c r="P247" s="4" t="str">
        <f t="shared" si="7"/>
        <v>COMPLETO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7">
        <v>46143</v>
      </c>
      <c r="B248" s="2" t="s">
        <v>99</v>
      </c>
      <c r="C248" s="3" t="str">
        <f>IFERROR(VLOOKUP(B248,Referência!$A$5:$I$16,2,FALSE),"")</f>
        <v>Tempo médio de espera porta-médico hospitalar</v>
      </c>
      <c r="D248" s="2" t="s">
        <v>85</v>
      </c>
      <c r="E248" s="2" t="s">
        <v>100</v>
      </c>
      <c r="F248" s="11">
        <v>22</v>
      </c>
      <c r="G248" s="15">
        <v>11660</v>
      </c>
      <c r="H248" s="15">
        <v>530</v>
      </c>
      <c r="I248" s="12">
        <f t="shared" si="6"/>
        <v>22</v>
      </c>
      <c r="J248" s="4" t="str">
        <f>IFERROR(VLOOKUP(B248,Referência!$A$5:$I$16,9,FALSE),"")</f>
        <v>minutos</v>
      </c>
      <c r="K248" s="6"/>
      <c r="L248" s="5" t="s">
        <v>101</v>
      </c>
      <c r="M248" s="8">
        <v>46276</v>
      </c>
      <c r="N248" s="5" t="s">
        <v>88</v>
      </c>
      <c r="O248" s="5" t="s">
        <v>24</v>
      </c>
      <c r="P248" s="4" t="str">
        <f t="shared" si="7"/>
        <v>COMPLETO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7">
        <v>46143</v>
      </c>
      <c r="B249" s="2" t="s">
        <v>99</v>
      </c>
      <c r="C249" s="3" t="str">
        <f>IFERROR(VLOOKUP(B249,Referência!$A$5:$I$16,2,FALSE),"")</f>
        <v>Tempo médio de espera porta-médico hospitalar</v>
      </c>
      <c r="D249" s="2" t="s">
        <v>85</v>
      </c>
      <c r="E249" s="2" t="s">
        <v>102</v>
      </c>
      <c r="F249" s="11">
        <v>21</v>
      </c>
      <c r="G249" s="15">
        <v>2772</v>
      </c>
      <c r="H249" s="15">
        <v>132</v>
      </c>
      <c r="I249" s="12">
        <f t="shared" si="6"/>
        <v>21</v>
      </c>
      <c r="J249" s="4" t="str">
        <f>IFERROR(VLOOKUP(B249,Referência!$A$5:$I$16,9,FALSE),"")</f>
        <v>minutos</v>
      </c>
      <c r="K249" s="6"/>
      <c r="L249" s="5" t="s">
        <v>101</v>
      </c>
      <c r="M249" s="8">
        <v>46276</v>
      </c>
      <c r="N249" s="5" t="s">
        <v>88</v>
      </c>
      <c r="O249" s="5" t="s">
        <v>24</v>
      </c>
      <c r="P249" s="4" t="str">
        <f t="shared" si="7"/>
        <v>COMPLETO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7">
        <v>46143</v>
      </c>
      <c r="B250" s="2" t="s">
        <v>99</v>
      </c>
      <c r="C250" s="3" t="str">
        <f>IFERROR(VLOOKUP(B250,Referência!$A$5:$I$16,2,FALSE),"")</f>
        <v>Tempo médio de espera porta-médico hospitalar</v>
      </c>
      <c r="D250" s="2" t="s">
        <v>85</v>
      </c>
      <c r="E250" s="2" t="s">
        <v>103</v>
      </c>
      <c r="F250" s="11">
        <v>23</v>
      </c>
      <c r="G250" s="15">
        <v>7935</v>
      </c>
      <c r="H250" s="15">
        <v>345</v>
      </c>
      <c r="I250" s="12">
        <f t="shared" si="6"/>
        <v>23</v>
      </c>
      <c r="J250" s="4" t="str">
        <f>IFERROR(VLOOKUP(B250,Referência!$A$5:$I$16,9,FALSE),"")</f>
        <v>minutos</v>
      </c>
      <c r="K250" s="6"/>
      <c r="L250" s="5" t="s">
        <v>101</v>
      </c>
      <c r="M250" s="8">
        <v>46276</v>
      </c>
      <c r="N250" s="5" t="s">
        <v>88</v>
      </c>
      <c r="O250" s="5" t="s">
        <v>24</v>
      </c>
      <c r="P250" s="4" t="str">
        <f t="shared" si="7"/>
        <v>COMPLETO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7">
        <v>46174</v>
      </c>
      <c r="B251" s="2" t="s">
        <v>99</v>
      </c>
      <c r="C251" s="3" t="str">
        <f>IFERROR(VLOOKUP(B251,Referência!$A$5:$I$16,2,FALSE),"")</f>
        <v>Tempo médio de espera porta-médico hospitalar</v>
      </c>
      <c r="D251" s="2" t="s">
        <v>85</v>
      </c>
      <c r="E251" s="2" t="s">
        <v>100</v>
      </c>
      <c r="F251" s="11">
        <v>27</v>
      </c>
      <c r="G251" s="15">
        <v>15120</v>
      </c>
      <c r="H251" s="15">
        <v>560</v>
      </c>
      <c r="I251" s="12">
        <f t="shared" si="6"/>
        <v>27</v>
      </c>
      <c r="J251" s="4" t="str">
        <f>IFERROR(VLOOKUP(B251,Referência!$A$5:$I$16,9,FALSE),"")</f>
        <v>minutos</v>
      </c>
      <c r="K251" s="6"/>
      <c r="L251" s="5" t="s">
        <v>101</v>
      </c>
      <c r="M251" s="8">
        <v>46276</v>
      </c>
      <c r="N251" s="5" t="s">
        <v>88</v>
      </c>
      <c r="O251" s="5" t="s">
        <v>24</v>
      </c>
      <c r="P251" s="4" t="str">
        <f t="shared" si="7"/>
        <v>COMPLETO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7">
        <v>46174</v>
      </c>
      <c r="B252" s="2" t="s">
        <v>99</v>
      </c>
      <c r="C252" s="3" t="str">
        <f>IFERROR(VLOOKUP(B252,Referência!$A$5:$I$16,2,FALSE),"")</f>
        <v>Tempo médio de espera porta-médico hospitalar</v>
      </c>
      <c r="D252" s="2" t="s">
        <v>85</v>
      </c>
      <c r="E252" s="2" t="s">
        <v>102</v>
      </c>
      <c r="F252" s="11">
        <v>26</v>
      </c>
      <c r="G252" s="15">
        <v>3640</v>
      </c>
      <c r="H252" s="15">
        <v>140</v>
      </c>
      <c r="I252" s="12">
        <f t="shared" si="6"/>
        <v>26</v>
      </c>
      <c r="J252" s="4" t="str">
        <f>IFERROR(VLOOKUP(B252,Referência!$A$5:$I$16,9,FALSE),"")</f>
        <v>minutos</v>
      </c>
      <c r="K252" s="6"/>
      <c r="L252" s="5" t="s">
        <v>101</v>
      </c>
      <c r="M252" s="8">
        <v>46276</v>
      </c>
      <c r="N252" s="5" t="s">
        <v>88</v>
      </c>
      <c r="O252" s="5" t="s">
        <v>24</v>
      </c>
      <c r="P252" s="4" t="str">
        <f t="shared" si="7"/>
        <v>COMPLETO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7">
        <v>46174</v>
      </c>
      <c r="B253" s="2" t="s">
        <v>99</v>
      </c>
      <c r="C253" s="3" t="str">
        <f>IFERROR(VLOOKUP(B253,Referência!$A$5:$I$16,2,FALSE),"")</f>
        <v>Tempo médio de espera porta-médico hospitalar</v>
      </c>
      <c r="D253" s="2" t="s">
        <v>85</v>
      </c>
      <c r="E253" s="2" t="s">
        <v>103</v>
      </c>
      <c r="F253" s="11">
        <v>28</v>
      </c>
      <c r="G253" s="15">
        <v>10080</v>
      </c>
      <c r="H253" s="15">
        <v>360</v>
      </c>
      <c r="I253" s="12">
        <f t="shared" si="6"/>
        <v>28</v>
      </c>
      <c r="J253" s="4" t="str">
        <f>IFERROR(VLOOKUP(B253,Referência!$A$5:$I$16,9,FALSE),"")</f>
        <v>minutos</v>
      </c>
      <c r="K253" s="6"/>
      <c r="L253" s="5" t="s">
        <v>101</v>
      </c>
      <c r="M253" s="8">
        <v>46276</v>
      </c>
      <c r="N253" s="5" t="s">
        <v>88</v>
      </c>
      <c r="O253" s="5" t="s">
        <v>24</v>
      </c>
      <c r="P253" s="4" t="str">
        <f t="shared" si="7"/>
        <v>COMPLETO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7">
        <v>46204</v>
      </c>
      <c r="B254" s="2" t="s">
        <v>99</v>
      </c>
      <c r="C254" s="3" t="str">
        <f>IFERROR(VLOOKUP(B254,Referência!$A$5:$I$16,2,FALSE),"")</f>
        <v>Tempo médio de espera porta-médico hospitalar</v>
      </c>
      <c r="D254" s="2" t="s">
        <v>85</v>
      </c>
      <c r="E254" s="2" t="s">
        <v>100</v>
      </c>
      <c r="F254" s="11">
        <v>25</v>
      </c>
      <c r="G254" s="15">
        <v>13750</v>
      </c>
      <c r="H254" s="15">
        <v>550</v>
      </c>
      <c r="I254" s="12">
        <f t="shared" si="6"/>
        <v>25</v>
      </c>
      <c r="J254" s="4" t="str">
        <f>IFERROR(VLOOKUP(B254,Referência!$A$5:$I$16,9,FALSE),"")</f>
        <v>minutos</v>
      </c>
      <c r="K254" s="6"/>
      <c r="L254" s="5" t="s">
        <v>101</v>
      </c>
      <c r="M254" s="8">
        <v>46276</v>
      </c>
      <c r="N254" s="5" t="s">
        <v>88</v>
      </c>
      <c r="O254" s="5" t="s">
        <v>24</v>
      </c>
      <c r="P254" s="4" t="str">
        <f t="shared" si="7"/>
        <v>COMPLETO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7">
        <v>46204</v>
      </c>
      <c r="B255" s="2" t="s">
        <v>99</v>
      </c>
      <c r="C255" s="3" t="str">
        <f>IFERROR(VLOOKUP(B255,Referência!$A$5:$I$16,2,FALSE),"")</f>
        <v>Tempo médio de espera porta-médico hospitalar</v>
      </c>
      <c r="D255" s="2" t="s">
        <v>85</v>
      </c>
      <c r="E255" s="2" t="s">
        <v>102</v>
      </c>
      <c r="F255" s="11">
        <v>25</v>
      </c>
      <c r="G255" s="15">
        <v>3450</v>
      </c>
      <c r="H255" s="15">
        <v>138</v>
      </c>
      <c r="I255" s="12">
        <f t="shared" si="6"/>
        <v>25</v>
      </c>
      <c r="J255" s="4" t="str">
        <f>IFERROR(VLOOKUP(B255,Referência!$A$5:$I$16,9,FALSE),"")</f>
        <v>minutos</v>
      </c>
      <c r="K255" s="6"/>
      <c r="L255" s="5" t="s">
        <v>101</v>
      </c>
      <c r="M255" s="8">
        <v>46276</v>
      </c>
      <c r="N255" s="5" t="s">
        <v>88</v>
      </c>
      <c r="O255" s="5" t="s">
        <v>24</v>
      </c>
      <c r="P255" s="4" t="str">
        <f t="shared" si="7"/>
        <v>COMPLETO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7">
        <v>46204</v>
      </c>
      <c r="B256" s="2" t="s">
        <v>99</v>
      </c>
      <c r="C256" s="3" t="str">
        <f>IFERROR(VLOOKUP(B256,Referência!$A$5:$I$16,2,FALSE),"")</f>
        <v>Tempo médio de espera porta-médico hospitalar</v>
      </c>
      <c r="D256" s="2" t="s">
        <v>85</v>
      </c>
      <c r="E256" s="2" t="s">
        <v>103</v>
      </c>
      <c r="F256" s="11">
        <v>27</v>
      </c>
      <c r="G256" s="15">
        <v>9585</v>
      </c>
      <c r="H256" s="15">
        <v>355</v>
      </c>
      <c r="I256" s="12">
        <f t="shared" si="6"/>
        <v>27</v>
      </c>
      <c r="J256" s="4" t="str">
        <f>IFERROR(VLOOKUP(B256,Referência!$A$5:$I$16,9,FALSE),"")</f>
        <v>minutos</v>
      </c>
      <c r="K256" s="6"/>
      <c r="L256" s="5" t="s">
        <v>101</v>
      </c>
      <c r="M256" s="8">
        <v>46276</v>
      </c>
      <c r="N256" s="5" t="s">
        <v>88</v>
      </c>
      <c r="O256" s="5" t="s">
        <v>24</v>
      </c>
      <c r="P256" s="4" t="str">
        <f t="shared" si="7"/>
        <v>COMPLETO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7">
        <v>46235</v>
      </c>
      <c r="B257" s="2" t="s">
        <v>99</v>
      </c>
      <c r="C257" s="3" t="str">
        <f>IFERROR(VLOOKUP(B257,Referência!$A$5:$I$16,2,FALSE),"")</f>
        <v>Tempo médio de espera porta-médico hospitalar</v>
      </c>
      <c r="D257" s="2" t="s">
        <v>85</v>
      </c>
      <c r="E257" s="2" t="s">
        <v>100</v>
      </c>
      <c r="F257" s="11">
        <v>22</v>
      </c>
      <c r="G257" s="15">
        <v>11550</v>
      </c>
      <c r="H257" s="15">
        <v>525</v>
      </c>
      <c r="I257" s="12">
        <f t="shared" si="6"/>
        <v>22</v>
      </c>
      <c r="J257" s="4" t="str">
        <f>IFERROR(VLOOKUP(B257,Referência!$A$5:$I$16,9,FALSE),"")</f>
        <v>minutos</v>
      </c>
      <c r="K257" s="6"/>
      <c r="L257" s="5" t="s">
        <v>101</v>
      </c>
      <c r="M257" s="8">
        <v>46276</v>
      </c>
      <c r="N257" s="5" t="s">
        <v>88</v>
      </c>
      <c r="O257" s="5" t="s">
        <v>24</v>
      </c>
      <c r="P257" s="4" t="str">
        <f t="shared" si="7"/>
        <v>COMPLETO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7">
        <v>46235</v>
      </c>
      <c r="B258" s="2" t="s">
        <v>99</v>
      </c>
      <c r="C258" s="3" t="str">
        <f>IFERROR(VLOOKUP(B258,Referência!$A$5:$I$16,2,FALSE),"")</f>
        <v>Tempo médio de espera porta-médico hospitalar</v>
      </c>
      <c r="D258" s="2" t="s">
        <v>85</v>
      </c>
      <c r="E258" s="2" t="s">
        <v>102</v>
      </c>
      <c r="F258" s="11">
        <v>20</v>
      </c>
      <c r="G258" s="15">
        <v>2600</v>
      </c>
      <c r="H258" s="15">
        <v>130</v>
      </c>
      <c r="I258" s="12">
        <f t="shared" si="6"/>
        <v>20</v>
      </c>
      <c r="J258" s="4" t="str">
        <f>IFERROR(VLOOKUP(B258,Referência!$A$5:$I$16,9,FALSE),"")</f>
        <v>minutos</v>
      </c>
      <c r="K258" s="6"/>
      <c r="L258" s="5" t="s">
        <v>101</v>
      </c>
      <c r="M258" s="8">
        <v>46276</v>
      </c>
      <c r="N258" s="5" t="s">
        <v>88</v>
      </c>
      <c r="O258" s="5" t="s">
        <v>24</v>
      </c>
      <c r="P258" s="4" t="str">
        <f t="shared" si="7"/>
        <v>COMPLETO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7">
        <v>46235</v>
      </c>
      <c r="B259" s="2" t="s">
        <v>99</v>
      </c>
      <c r="C259" s="3" t="str">
        <f>IFERROR(VLOOKUP(B259,Referência!$A$5:$I$16,2,FALSE),"")</f>
        <v>Tempo médio de espera porta-médico hospitalar</v>
      </c>
      <c r="D259" s="2" t="s">
        <v>85</v>
      </c>
      <c r="E259" s="2" t="s">
        <v>103</v>
      </c>
      <c r="F259" s="11">
        <v>23</v>
      </c>
      <c r="G259" s="15">
        <v>7820</v>
      </c>
      <c r="H259" s="15">
        <v>340</v>
      </c>
      <c r="I259" s="12">
        <f t="shared" si="6"/>
        <v>23</v>
      </c>
      <c r="J259" s="4" t="str">
        <f>IFERROR(VLOOKUP(B259,Referência!$A$5:$I$16,9,FALSE),"")</f>
        <v>minutos</v>
      </c>
      <c r="K259" s="6"/>
      <c r="L259" s="5" t="s">
        <v>101</v>
      </c>
      <c r="M259" s="8">
        <v>46276</v>
      </c>
      <c r="N259" s="5" t="s">
        <v>88</v>
      </c>
      <c r="O259" s="5" t="s">
        <v>24</v>
      </c>
      <c r="P259" s="4" t="str">
        <f t="shared" si="7"/>
        <v>COMPLETO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>
      <c r="A260" s="7">
        <v>46023</v>
      </c>
      <c r="B260" s="2" t="s">
        <v>104</v>
      </c>
      <c r="C260" s="3" t="str">
        <f>IFERROR(VLOOKUP(B260,Referência!$A$5:$I$16,2,FALSE),"")</f>
        <v>Tempo médio de espera do pronto atendimento ao pré-parto</v>
      </c>
      <c r="D260" s="2" t="s">
        <v>85</v>
      </c>
      <c r="E260" s="2" t="s">
        <v>100</v>
      </c>
      <c r="F260" s="11">
        <v>98</v>
      </c>
      <c r="G260" s="15">
        <v>17640</v>
      </c>
      <c r="H260" s="15">
        <v>180</v>
      </c>
      <c r="I260" s="12">
        <f t="shared" si="6"/>
        <v>98</v>
      </c>
      <c r="J260" s="4" t="str">
        <f>IFERROR(VLOOKUP(B260,Referência!$A$5:$I$16,9,FALSE),"")</f>
        <v>minutos</v>
      </c>
      <c r="K260" s="6" t="s">
        <v>105</v>
      </c>
      <c r="L260" s="5" t="s">
        <v>106</v>
      </c>
      <c r="M260" s="8">
        <v>46276</v>
      </c>
      <c r="N260" s="5" t="s">
        <v>88</v>
      </c>
      <c r="O260" s="5" t="s">
        <v>24</v>
      </c>
      <c r="P260" s="4" t="str">
        <f t="shared" si="7"/>
        <v>COMPLETO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>
      <c r="A261" s="7">
        <v>46023</v>
      </c>
      <c r="B261" s="2" t="s">
        <v>104</v>
      </c>
      <c r="C261" s="3" t="str">
        <f>IFERROR(VLOOKUP(B261,Referência!$A$5:$I$16,2,FALSE),"")</f>
        <v>Tempo médio de espera do pronto atendimento ao pré-parto</v>
      </c>
      <c r="D261" s="2" t="s">
        <v>85</v>
      </c>
      <c r="E261" s="2" t="s">
        <v>102</v>
      </c>
      <c r="F261" s="11">
        <v>87</v>
      </c>
      <c r="G261" s="15">
        <v>4785</v>
      </c>
      <c r="H261" s="15">
        <v>55</v>
      </c>
      <c r="I261" s="12">
        <f t="shared" si="6"/>
        <v>87</v>
      </c>
      <c r="J261" s="4" t="str">
        <f>IFERROR(VLOOKUP(B261,Referência!$A$5:$I$16,9,FALSE),"")</f>
        <v>minutos</v>
      </c>
      <c r="K261" s="6" t="s">
        <v>105</v>
      </c>
      <c r="L261" s="5" t="s">
        <v>106</v>
      </c>
      <c r="M261" s="8">
        <v>46276</v>
      </c>
      <c r="N261" s="5" t="s">
        <v>88</v>
      </c>
      <c r="O261" s="5" t="s">
        <v>24</v>
      </c>
      <c r="P261" s="4" t="str">
        <f t="shared" si="7"/>
        <v>COMPLETO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>
      <c r="A262" s="7">
        <v>46023</v>
      </c>
      <c r="B262" s="2" t="s">
        <v>104</v>
      </c>
      <c r="C262" s="3" t="str">
        <f>IFERROR(VLOOKUP(B262,Referência!$A$5:$I$16,2,FALSE),"")</f>
        <v>Tempo médio de espera do pronto atendimento ao pré-parto</v>
      </c>
      <c r="D262" s="2" t="s">
        <v>85</v>
      </c>
      <c r="E262" s="2" t="s">
        <v>103</v>
      </c>
      <c r="F262" s="11">
        <v>113</v>
      </c>
      <c r="G262" s="15">
        <v>12430</v>
      </c>
      <c r="H262" s="15">
        <v>110</v>
      </c>
      <c r="I262" s="12">
        <f t="shared" ref="I262:I323" si="8">IF(B262="","",IF(F262&lt;&gt;"",F262,IF(AND(G262&lt;&gt;"",H262&lt;&gt;""),IF(H262=0,"",G262/H262),"")))</f>
        <v>113</v>
      </c>
      <c r="J262" s="4" t="str">
        <f>IFERROR(VLOOKUP(B262,Referência!$A$5:$I$16,9,FALSE),"")</f>
        <v>minutos</v>
      </c>
      <c r="K262" s="6" t="s">
        <v>105</v>
      </c>
      <c r="L262" s="5" t="s">
        <v>106</v>
      </c>
      <c r="M262" s="8">
        <v>46276</v>
      </c>
      <c r="N262" s="5" t="s">
        <v>88</v>
      </c>
      <c r="O262" s="5" t="s">
        <v>24</v>
      </c>
      <c r="P262" s="4" t="str">
        <f t="shared" ref="P262:P323" si="9">IF(B262="","",IF(OR(A262="",C262="",D262="",E262="",I262="",J262="",L262="",M262="",N262="",O262=""),"INCOMPLETO","COMPLETO"))</f>
        <v>COMPLETO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>
      <c r="A263" s="7">
        <v>46054</v>
      </c>
      <c r="B263" s="2" t="s">
        <v>104</v>
      </c>
      <c r="C263" s="3" t="str">
        <f>IFERROR(VLOOKUP(B263,Referência!$A$5:$I$16,2,FALSE),"")</f>
        <v>Tempo médio de espera do pronto atendimento ao pré-parto</v>
      </c>
      <c r="D263" s="2" t="s">
        <v>85</v>
      </c>
      <c r="E263" s="2" t="s">
        <v>100</v>
      </c>
      <c r="F263" s="11">
        <v>66</v>
      </c>
      <c r="G263" s="15">
        <v>11220</v>
      </c>
      <c r="H263" s="15">
        <v>170</v>
      </c>
      <c r="I263" s="12">
        <f t="shared" si="8"/>
        <v>66</v>
      </c>
      <c r="J263" s="4" t="str">
        <f>IFERROR(VLOOKUP(B263,Referência!$A$5:$I$16,9,FALSE),"")</f>
        <v>minutos</v>
      </c>
      <c r="K263" s="6" t="s">
        <v>105</v>
      </c>
      <c r="L263" s="5" t="s">
        <v>106</v>
      </c>
      <c r="M263" s="8">
        <v>46276</v>
      </c>
      <c r="N263" s="5" t="s">
        <v>88</v>
      </c>
      <c r="O263" s="5" t="s">
        <v>24</v>
      </c>
      <c r="P263" s="4" t="str">
        <f t="shared" si="9"/>
        <v>COMPLETO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>
      <c r="A264" s="7">
        <v>46054</v>
      </c>
      <c r="B264" s="2" t="s">
        <v>104</v>
      </c>
      <c r="C264" s="3" t="str">
        <f>IFERROR(VLOOKUP(B264,Referência!$A$5:$I$16,2,FALSE),"")</f>
        <v>Tempo médio de espera do pronto atendimento ao pré-parto</v>
      </c>
      <c r="D264" s="2" t="s">
        <v>85</v>
      </c>
      <c r="E264" s="2" t="s">
        <v>102</v>
      </c>
      <c r="F264" s="11">
        <v>66</v>
      </c>
      <c r="G264" s="15">
        <v>3300</v>
      </c>
      <c r="H264" s="15">
        <v>50</v>
      </c>
      <c r="I264" s="12">
        <f t="shared" si="8"/>
        <v>66</v>
      </c>
      <c r="J264" s="4" t="str">
        <f>IFERROR(VLOOKUP(B264,Referência!$A$5:$I$16,9,FALSE),"")</f>
        <v>minutos</v>
      </c>
      <c r="K264" s="6" t="s">
        <v>105</v>
      </c>
      <c r="L264" s="5" t="s">
        <v>106</v>
      </c>
      <c r="M264" s="8">
        <v>46276</v>
      </c>
      <c r="N264" s="5" t="s">
        <v>88</v>
      </c>
      <c r="O264" s="5" t="s">
        <v>24</v>
      </c>
      <c r="P264" s="4" t="str">
        <f t="shared" si="9"/>
        <v>COMPLETO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>
      <c r="A265" s="7">
        <v>46054</v>
      </c>
      <c r="B265" s="2" t="s">
        <v>104</v>
      </c>
      <c r="C265" s="3" t="str">
        <f>IFERROR(VLOOKUP(B265,Referência!$A$5:$I$16,2,FALSE),"")</f>
        <v>Tempo médio de espera do pronto atendimento ao pré-parto</v>
      </c>
      <c r="D265" s="2" t="s">
        <v>85</v>
      </c>
      <c r="E265" s="2" t="s">
        <v>103</v>
      </c>
      <c r="F265" s="11">
        <v>115</v>
      </c>
      <c r="G265" s="15">
        <v>12075</v>
      </c>
      <c r="H265" s="15">
        <v>105</v>
      </c>
      <c r="I265" s="12">
        <f t="shared" si="8"/>
        <v>115</v>
      </c>
      <c r="J265" s="4" t="str">
        <f>IFERROR(VLOOKUP(B265,Referência!$A$5:$I$16,9,FALSE),"")</f>
        <v>minutos</v>
      </c>
      <c r="K265" s="6" t="s">
        <v>105</v>
      </c>
      <c r="L265" s="5" t="s">
        <v>106</v>
      </c>
      <c r="M265" s="8">
        <v>46276</v>
      </c>
      <c r="N265" s="5" t="s">
        <v>88</v>
      </c>
      <c r="O265" s="5" t="s">
        <v>24</v>
      </c>
      <c r="P265" s="4" t="str">
        <f t="shared" si="9"/>
        <v>COMPLETO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>
      <c r="A266" s="7">
        <v>46082</v>
      </c>
      <c r="B266" s="2" t="s">
        <v>104</v>
      </c>
      <c r="C266" s="3" t="str">
        <f>IFERROR(VLOOKUP(B266,Referência!$A$5:$I$16,2,FALSE),"")</f>
        <v>Tempo médio de espera do pronto atendimento ao pré-parto</v>
      </c>
      <c r="D266" s="2" t="s">
        <v>85</v>
      </c>
      <c r="E266" s="2" t="s">
        <v>100</v>
      </c>
      <c r="F266" s="11">
        <v>85</v>
      </c>
      <c r="G266" s="15">
        <v>16150</v>
      </c>
      <c r="H266" s="15">
        <v>190</v>
      </c>
      <c r="I266" s="12">
        <f t="shared" si="8"/>
        <v>85</v>
      </c>
      <c r="J266" s="4" t="str">
        <f>IFERROR(VLOOKUP(B266,Referência!$A$5:$I$16,9,FALSE),"")</f>
        <v>minutos</v>
      </c>
      <c r="K266" s="6" t="s">
        <v>105</v>
      </c>
      <c r="L266" s="5" t="s">
        <v>106</v>
      </c>
      <c r="M266" s="8">
        <v>46276</v>
      </c>
      <c r="N266" s="5" t="s">
        <v>88</v>
      </c>
      <c r="O266" s="5" t="s">
        <v>24</v>
      </c>
      <c r="P266" s="4" t="str">
        <f t="shared" si="9"/>
        <v>COMPLETO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>
      <c r="A267" s="7">
        <v>46082</v>
      </c>
      <c r="B267" s="2" t="s">
        <v>104</v>
      </c>
      <c r="C267" s="3" t="str">
        <f>IFERROR(VLOOKUP(B267,Referência!$A$5:$I$16,2,FALSE),"")</f>
        <v>Tempo médio de espera do pronto atendimento ao pré-parto</v>
      </c>
      <c r="D267" s="2" t="s">
        <v>85</v>
      </c>
      <c r="E267" s="2" t="s">
        <v>102</v>
      </c>
      <c r="F267" s="11">
        <v>84</v>
      </c>
      <c r="G267" s="15">
        <v>5040</v>
      </c>
      <c r="H267" s="15">
        <v>60</v>
      </c>
      <c r="I267" s="12">
        <f t="shared" si="8"/>
        <v>84</v>
      </c>
      <c r="J267" s="4" t="str">
        <f>IFERROR(VLOOKUP(B267,Referência!$A$5:$I$16,9,FALSE),"")</f>
        <v>minutos</v>
      </c>
      <c r="K267" s="6" t="s">
        <v>105</v>
      </c>
      <c r="L267" s="5" t="s">
        <v>106</v>
      </c>
      <c r="M267" s="8">
        <v>46276</v>
      </c>
      <c r="N267" s="5" t="s">
        <v>88</v>
      </c>
      <c r="O267" s="5" t="s">
        <v>24</v>
      </c>
      <c r="P267" s="4" t="str">
        <f t="shared" si="9"/>
        <v>COMPLETO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>
      <c r="A268" s="7">
        <v>46082</v>
      </c>
      <c r="B268" s="2" t="s">
        <v>104</v>
      </c>
      <c r="C268" s="3" t="str">
        <f>IFERROR(VLOOKUP(B268,Referência!$A$5:$I$16,2,FALSE),"")</f>
        <v>Tempo médio de espera do pronto atendimento ao pré-parto</v>
      </c>
      <c r="D268" s="2" t="s">
        <v>85</v>
      </c>
      <c r="E268" s="2" t="s">
        <v>103</v>
      </c>
      <c r="F268" s="11">
        <v>76</v>
      </c>
      <c r="G268" s="15">
        <v>8740</v>
      </c>
      <c r="H268" s="15">
        <v>115</v>
      </c>
      <c r="I268" s="12">
        <f t="shared" si="8"/>
        <v>76</v>
      </c>
      <c r="J268" s="4" t="str">
        <f>IFERROR(VLOOKUP(B268,Referência!$A$5:$I$16,9,FALSE),"")</f>
        <v>minutos</v>
      </c>
      <c r="K268" s="6" t="s">
        <v>105</v>
      </c>
      <c r="L268" s="5" t="s">
        <v>106</v>
      </c>
      <c r="M268" s="8">
        <v>46276</v>
      </c>
      <c r="N268" s="5" t="s">
        <v>88</v>
      </c>
      <c r="O268" s="5" t="s">
        <v>24</v>
      </c>
      <c r="P268" s="4" t="str">
        <f t="shared" si="9"/>
        <v>COMPLETO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>
      <c r="A269" s="7">
        <v>46113</v>
      </c>
      <c r="B269" s="2" t="s">
        <v>104</v>
      </c>
      <c r="C269" s="3" t="str">
        <f>IFERROR(VLOOKUP(B269,Referência!$A$5:$I$16,2,FALSE),"")</f>
        <v>Tempo médio de espera do pronto atendimento ao pré-parto</v>
      </c>
      <c r="D269" s="2" t="s">
        <v>85</v>
      </c>
      <c r="E269" s="2" t="s">
        <v>100</v>
      </c>
      <c r="F269" s="11">
        <v>116</v>
      </c>
      <c r="G269" s="15">
        <v>21460</v>
      </c>
      <c r="H269" s="15">
        <v>185</v>
      </c>
      <c r="I269" s="12">
        <f t="shared" si="8"/>
        <v>116</v>
      </c>
      <c r="J269" s="4" t="str">
        <f>IFERROR(VLOOKUP(B269,Referência!$A$5:$I$16,9,FALSE),"")</f>
        <v>minutos</v>
      </c>
      <c r="K269" s="6" t="s">
        <v>105</v>
      </c>
      <c r="L269" s="5" t="s">
        <v>106</v>
      </c>
      <c r="M269" s="8">
        <v>46276</v>
      </c>
      <c r="N269" s="5" t="s">
        <v>88</v>
      </c>
      <c r="O269" s="5" t="s">
        <v>24</v>
      </c>
      <c r="P269" s="4" t="str">
        <f t="shared" si="9"/>
        <v>COMPLETO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>
      <c r="A270" s="7">
        <v>46113</v>
      </c>
      <c r="B270" s="2" t="s">
        <v>104</v>
      </c>
      <c r="C270" s="3" t="str">
        <f>IFERROR(VLOOKUP(B270,Referência!$A$5:$I$16,2,FALSE),"")</f>
        <v>Tempo médio de espera do pronto atendimento ao pré-parto</v>
      </c>
      <c r="D270" s="2" t="s">
        <v>85</v>
      </c>
      <c r="E270" s="2" t="s">
        <v>102</v>
      </c>
      <c r="F270" s="11">
        <v>83</v>
      </c>
      <c r="G270" s="15">
        <v>4814</v>
      </c>
      <c r="H270" s="15">
        <v>58</v>
      </c>
      <c r="I270" s="12">
        <f t="shared" si="8"/>
        <v>83</v>
      </c>
      <c r="J270" s="4" t="str">
        <f>IFERROR(VLOOKUP(B270,Referência!$A$5:$I$16,9,FALSE),"")</f>
        <v>minutos</v>
      </c>
      <c r="K270" s="6" t="s">
        <v>105</v>
      </c>
      <c r="L270" s="5" t="s">
        <v>106</v>
      </c>
      <c r="M270" s="8">
        <v>46276</v>
      </c>
      <c r="N270" s="5" t="s">
        <v>88</v>
      </c>
      <c r="O270" s="5" t="s">
        <v>24</v>
      </c>
      <c r="P270" s="4" t="str">
        <f t="shared" si="9"/>
        <v>COMPLETO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>
      <c r="A271" s="7">
        <v>46113</v>
      </c>
      <c r="B271" s="2" t="s">
        <v>104</v>
      </c>
      <c r="C271" s="3" t="str">
        <f>IFERROR(VLOOKUP(B271,Referência!$A$5:$I$16,2,FALSE),"")</f>
        <v>Tempo médio de espera do pronto atendimento ao pré-parto</v>
      </c>
      <c r="D271" s="2" t="s">
        <v>85</v>
      </c>
      <c r="E271" s="2" t="s">
        <v>103</v>
      </c>
      <c r="F271" s="11">
        <v>108</v>
      </c>
      <c r="G271" s="15">
        <v>12096</v>
      </c>
      <c r="H271" s="15">
        <v>112</v>
      </c>
      <c r="I271" s="12">
        <f t="shared" si="8"/>
        <v>108</v>
      </c>
      <c r="J271" s="4" t="str">
        <f>IFERROR(VLOOKUP(B271,Referência!$A$5:$I$16,9,FALSE),"")</f>
        <v>minutos</v>
      </c>
      <c r="K271" s="6" t="s">
        <v>105</v>
      </c>
      <c r="L271" s="5" t="s">
        <v>106</v>
      </c>
      <c r="M271" s="8">
        <v>46276</v>
      </c>
      <c r="N271" s="5" t="s">
        <v>88</v>
      </c>
      <c r="O271" s="5" t="s">
        <v>24</v>
      </c>
      <c r="P271" s="4" t="str">
        <f t="shared" si="9"/>
        <v>COMPLETO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>
      <c r="A272" s="7">
        <v>46143</v>
      </c>
      <c r="B272" s="2" t="s">
        <v>104</v>
      </c>
      <c r="C272" s="3" t="str">
        <f>IFERROR(VLOOKUP(B272,Referência!$A$5:$I$16,2,FALSE),"")</f>
        <v>Tempo médio de espera do pronto atendimento ao pré-parto</v>
      </c>
      <c r="D272" s="2" t="s">
        <v>85</v>
      </c>
      <c r="E272" s="2" t="s">
        <v>100</v>
      </c>
      <c r="F272" s="11">
        <v>107</v>
      </c>
      <c r="G272" s="15">
        <v>18725</v>
      </c>
      <c r="H272" s="15">
        <v>175</v>
      </c>
      <c r="I272" s="12">
        <f t="shared" si="8"/>
        <v>107</v>
      </c>
      <c r="J272" s="4" t="str">
        <f>IFERROR(VLOOKUP(B272,Referência!$A$5:$I$16,9,FALSE),"")</f>
        <v>minutos</v>
      </c>
      <c r="K272" s="6" t="s">
        <v>105</v>
      </c>
      <c r="L272" s="5" t="s">
        <v>106</v>
      </c>
      <c r="M272" s="8">
        <v>46276</v>
      </c>
      <c r="N272" s="5" t="s">
        <v>88</v>
      </c>
      <c r="O272" s="5" t="s">
        <v>24</v>
      </c>
      <c r="P272" s="4" t="str">
        <f t="shared" si="9"/>
        <v>COMPLETO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>
      <c r="A273" s="7">
        <v>46143</v>
      </c>
      <c r="B273" s="2" t="s">
        <v>104</v>
      </c>
      <c r="C273" s="3" t="str">
        <f>IFERROR(VLOOKUP(B273,Referência!$A$5:$I$16,2,FALSE),"")</f>
        <v>Tempo médio de espera do pronto atendimento ao pré-parto</v>
      </c>
      <c r="D273" s="2" t="s">
        <v>85</v>
      </c>
      <c r="E273" s="2" t="s">
        <v>102</v>
      </c>
      <c r="F273" s="11">
        <v>64</v>
      </c>
      <c r="G273" s="15">
        <v>3328</v>
      </c>
      <c r="H273" s="15">
        <v>52</v>
      </c>
      <c r="I273" s="12">
        <f t="shared" si="8"/>
        <v>64</v>
      </c>
      <c r="J273" s="4" t="str">
        <f>IFERROR(VLOOKUP(B273,Referência!$A$5:$I$16,9,FALSE),"")</f>
        <v>minutos</v>
      </c>
      <c r="K273" s="6" t="s">
        <v>105</v>
      </c>
      <c r="L273" s="5" t="s">
        <v>106</v>
      </c>
      <c r="M273" s="8">
        <v>46276</v>
      </c>
      <c r="N273" s="5" t="s">
        <v>88</v>
      </c>
      <c r="O273" s="5" t="s">
        <v>24</v>
      </c>
      <c r="P273" s="4" t="str">
        <f t="shared" si="9"/>
        <v>COMPLETO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>
      <c r="A274" s="7">
        <v>46143</v>
      </c>
      <c r="B274" s="2" t="s">
        <v>104</v>
      </c>
      <c r="C274" s="3" t="str">
        <f>IFERROR(VLOOKUP(B274,Referência!$A$5:$I$16,2,FALSE),"")</f>
        <v>Tempo médio de espera do pronto atendimento ao pré-parto</v>
      </c>
      <c r="D274" s="2" t="s">
        <v>85</v>
      </c>
      <c r="E274" s="2" t="s">
        <v>103</v>
      </c>
      <c r="F274" s="11">
        <v>95</v>
      </c>
      <c r="G274" s="15">
        <v>10260</v>
      </c>
      <c r="H274" s="15">
        <v>108</v>
      </c>
      <c r="I274" s="12">
        <f t="shared" si="8"/>
        <v>95</v>
      </c>
      <c r="J274" s="4" t="str">
        <f>IFERROR(VLOOKUP(B274,Referência!$A$5:$I$16,9,FALSE),"")</f>
        <v>minutos</v>
      </c>
      <c r="K274" s="6" t="s">
        <v>105</v>
      </c>
      <c r="L274" s="5" t="s">
        <v>106</v>
      </c>
      <c r="M274" s="8">
        <v>46276</v>
      </c>
      <c r="N274" s="5" t="s">
        <v>88</v>
      </c>
      <c r="O274" s="5" t="s">
        <v>24</v>
      </c>
      <c r="P274" s="4" t="str">
        <f t="shared" si="9"/>
        <v>COMPLETO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>
      <c r="A275" s="7">
        <v>46174</v>
      </c>
      <c r="B275" s="2" t="s">
        <v>104</v>
      </c>
      <c r="C275" s="3" t="str">
        <f>IFERROR(VLOOKUP(B275,Referência!$A$5:$I$16,2,FALSE),"")</f>
        <v>Tempo médio de espera do pronto atendimento ao pré-parto</v>
      </c>
      <c r="D275" s="2" t="s">
        <v>85</v>
      </c>
      <c r="E275" s="2" t="s">
        <v>100</v>
      </c>
      <c r="F275" s="11">
        <v>77</v>
      </c>
      <c r="G275" s="15">
        <v>15400</v>
      </c>
      <c r="H275" s="15">
        <v>200</v>
      </c>
      <c r="I275" s="12">
        <f t="shared" si="8"/>
        <v>77</v>
      </c>
      <c r="J275" s="4" t="str">
        <f>IFERROR(VLOOKUP(B275,Referência!$A$5:$I$16,9,FALSE),"")</f>
        <v>minutos</v>
      </c>
      <c r="K275" s="6" t="s">
        <v>105</v>
      </c>
      <c r="L275" s="5" t="s">
        <v>106</v>
      </c>
      <c r="M275" s="8">
        <v>46276</v>
      </c>
      <c r="N275" s="5" t="s">
        <v>88</v>
      </c>
      <c r="O275" s="5" t="s">
        <v>24</v>
      </c>
      <c r="P275" s="4" t="str">
        <f t="shared" si="9"/>
        <v>COMPLETO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>
      <c r="A276" s="7">
        <v>46174</v>
      </c>
      <c r="B276" s="2" t="s">
        <v>104</v>
      </c>
      <c r="C276" s="3" t="str">
        <f>IFERROR(VLOOKUP(B276,Referência!$A$5:$I$16,2,FALSE),"")</f>
        <v>Tempo médio de espera do pronto atendimento ao pré-parto</v>
      </c>
      <c r="D276" s="2" t="s">
        <v>85</v>
      </c>
      <c r="E276" s="2" t="s">
        <v>102</v>
      </c>
      <c r="F276" s="11">
        <v>77</v>
      </c>
      <c r="G276" s="15">
        <v>4774</v>
      </c>
      <c r="H276" s="15">
        <v>62</v>
      </c>
      <c r="I276" s="12">
        <f t="shared" si="8"/>
        <v>77</v>
      </c>
      <c r="J276" s="4" t="str">
        <f>IFERROR(VLOOKUP(B276,Referência!$A$5:$I$16,9,FALSE),"")</f>
        <v>minutos</v>
      </c>
      <c r="K276" s="6" t="s">
        <v>105</v>
      </c>
      <c r="L276" s="5" t="s">
        <v>106</v>
      </c>
      <c r="M276" s="8">
        <v>46276</v>
      </c>
      <c r="N276" s="5" t="s">
        <v>88</v>
      </c>
      <c r="O276" s="5" t="s">
        <v>24</v>
      </c>
      <c r="P276" s="4" t="str">
        <f t="shared" si="9"/>
        <v>COMPLETO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>
      <c r="A277" s="7">
        <v>46174</v>
      </c>
      <c r="B277" s="2" t="s">
        <v>104</v>
      </c>
      <c r="C277" s="3" t="str">
        <f>IFERROR(VLOOKUP(B277,Referência!$A$5:$I$16,2,FALSE),"")</f>
        <v>Tempo médio de espera do pronto atendimento ao pré-parto</v>
      </c>
      <c r="D277" s="2" t="s">
        <v>85</v>
      </c>
      <c r="E277" s="2" t="s">
        <v>103</v>
      </c>
      <c r="F277" s="11">
        <v>90</v>
      </c>
      <c r="G277" s="15">
        <v>10800</v>
      </c>
      <c r="H277" s="15">
        <v>120</v>
      </c>
      <c r="I277" s="12">
        <f t="shared" si="8"/>
        <v>90</v>
      </c>
      <c r="J277" s="4" t="str">
        <f>IFERROR(VLOOKUP(B277,Referência!$A$5:$I$16,9,FALSE),"")</f>
        <v>minutos</v>
      </c>
      <c r="K277" s="6" t="s">
        <v>105</v>
      </c>
      <c r="L277" s="5" t="s">
        <v>106</v>
      </c>
      <c r="M277" s="8">
        <v>46276</v>
      </c>
      <c r="N277" s="5" t="s">
        <v>88</v>
      </c>
      <c r="O277" s="5" t="s">
        <v>24</v>
      </c>
      <c r="P277" s="4" t="str">
        <f t="shared" si="9"/>
        <v>COMPLETO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>
      <c r="A278" s="7">
        <v>46204</v>
      </c>
      <c r="B278" s="2" t="s">
        <v>104</v>
      </c>
      <c r="C278" s="3" t="str">
        <f>IFERROR(VLOOKUP(B278,Referência!$A$5:$I$16,2,FALSE),"")</f>
        <v>Tempo médio de espera do pronto atendimento ao pré-parto</v>
      </c>
      <c r="D278" s="2" t="s">
        <v>85</v>
      </c>
      <c r="E278" s="2" t="s">
        <v>100</v>
      </c>
      <c r="F278" s="11">
        <v>77</v>
      </c>
      <c r="G278" s="15">
        <v>15015</v>
      </c>
      <c r="H278" s="15">
        <v>195</v>
      </c>
      <c r="I278" s="12">
        <f t="shared" si="8"/>
        <v>77</v>
      </c>
      <c r="J278" s="4" t="str">
        <f>IFERROR(VLOOKUP(B278,Referência!$A$5:$I$16,9,FALSE),"")</f>
        <v>minutos</v>
      </c>
      <c r="K278" s="6" t="s">
        <v>105</v>
      </c>
      <c r="L278" s="5" t="s">
        <v>106</v>
      </c>
      <c r="M278" s="8">
        <v>46276</v>
      </c>
      <c r="N278" s="5" t="s">
        <v>88</v>
      </c>
      <c r="O278" s="5" t="s">
        <v>24</v>
      </c>
      <c r="P278" s="4" t="str">
        <f t="shared" si="9"/>
        <v>COMPLETO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>
      <c r="A279" s="7">
        <v>46204</v>
      </c>
      <c r="B279" s="2" t="s">
        <v>104</v>
      </c>
      <c r="C279" s="3" t="str">
        <f>IFERROR(VLOOKUP(B279,Referência!$A$5:$I$16,2,FALSE),"")</f>
        <v>Tempo médio de espera do pronto atendimento ao pré-parto</v>
      </c>
      <c r="D279" s="2" t="s">
        <v>85</v>
      </c>
      <c r="E279" s="2" t="s">
        <v>102</v>
      </c>
      <c r="F279" s="11">
        <v>77</v>
      </c>
      <c r="G279" s="15">
        <v>4620</v>
      </c>
      <c r="H279" s="15">
        <v>60</v>
      </c>
      <c r="I279" s="12">
        <f t="shared" si="8"/>
        <v>77</v>
      </c>
      <c r="J279" s="4" t="str">
        <f>IFERROR(VLOOKUP(B279,Referência!$A$5:$I$16,9,FALSE),"")</f>
        <v>minutos</v>
      </c>
      <c r="K279" s="6" t="s">
        <v>105</v>
      </c>
      <c r="L279" s="5" t="s">
        <v>106</v>
      </c>
      <c r="M279" s="8">
        <v>46276</v>
      </c>
      <c r="N279" s="5" t="s">
        <v>88</v>
      </c>
      <c r="O279" s="5" t="s">
        <v>24</v>
      </c>
      <c r="P279" s="4" t="str">
        <f t="shared" si="9"/>
        <v>COMPLETO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>
      <c r="A280" s="7">
        <v>46204</v>
      </c>
      <c r="B280" s="2" t="s">
        <v>104</v>
      </c>
      <c r="C280" s="3" t="str">
        <f>IFERROR(VLOOKUP(B280,Referência!$A$5:$I$16,2,FALSE),"")</f>
        <v>Tempo médio de espera do pronto atendimento ao pré-parto</v>
      </c>
      <c r="D280" s="2" t="s">
        <v>85</v>
      </c>
      <c r="E280" s="2" t="s">
        <v>103</v>
      </c>
      <c r="F280" s="11">
        <v>90</v>
      </c>
      <c r="G280" s="15">
        <v>10620</v>
      </c>
      <c r="H280" s="15">
        <v>118</v>
      </c>
      <c r="I280" s="12">
        <f t="shared" si="8"/>
        <v>90</v>
      </c>
      <c r="J280" s="4" t="str">
        <f>IFERROR(VLOOKUP(B280,Referência!$A$5:$I$16,9,FALSE),"")</f>
        <v>minutos</v>
      </c>
      <c r="K280" s="6" t="s">
        <v>105</v>
      </c>
      <c r="L280" s="5" t="s">
        <v>106</v>
      </c>
      <c r="M280" s="8">
        <v>46276</v>
      </c>
      <c r="N280" s="5" t="s">
        <v>88</v>
      </c>
      <c r="O280" s="5" t="s">
        <v>24</v>
      </c>
      <c r="P280" s="4" t="str">
        <f t="shared" si="9"/>
        <v>COMPLETO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>
      <c r="A281" s="7">
        <v>46235</v>
      </c>
      <c r="B281" s="2" t="s">
        <v>104</v>
      </c>
      <c r="C281" s="3" t="str">
        <f>IFERROR(VLOOKUP(B281,Referência!$A$5:$I$16,2,FALSE),"")</f>
        <v>Tempo médio de espera do pronto atendimento ao pré-parto</v>
      </c>
      <c r="D281" s="2" t="s">
        <v>85</v>
      </c>
      <c r="E281" s="2" t="s">
        <v>100</v>
      </c>
      <c r="F281" s="11">
        <v>79</v>
      </c>
      <c r="G281" s="15">
        <v>14852</v>
      </c>
      <c r="H281" s="15">
        <v>188</v>
      </c>
      <c r="I281" s="12">
        <f t="shared" si="8"/>
        <v>79</v>
      </c>
      <c r="J281" s="4" t="str">
        <f>IFERROR(VLOOKUP(B281,Referência!$A$5:$I$16,9,FALSE),"")</f>
        <v>minutos</v>
      </c>
      <c r="K281" s="6" t="s">
        <v>105</v>
      </c>
      <c r="L281" s="5" t="s">
        <v>106</v>
      </c>
      <c r="M281" s="8">
        <v>46276</v>
      </c>
      <c r="N281" s="5" t="s">
        <v>88</v>
      </c>
      <c r="O281" s="5" t="s">
        <v>24</v>
      </c>
      <c r="P281" s="4" t="str">
        <f t="shared" si="9"/>
        <v>COMPLETO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>
      <c r="A282" s="7">
        <v>46235</v>
      </c>
      <c r="B282" s="2" t="s">
        <v>104</v>
      </c>
      <c r="C282" s="3" t="str">
        <f>IFERROR(VLOOKUP(B282,Referência!$A$5:$I$16,2,FALSE),"")</f>
        <v>Tempo médio de espera do pronto atendimento ao pré-parto</v>
      </c>
      <c r="D282" s="2" t="s">
        <v>85</v>
      </c>
      <c r="E282" s="2" t="s">
        <v>102</v>
      </c>
      <c r="F282" s="11">
        <v>78</v>
      </c>
      <c r="G282" s="15">
        <v>4446</v>
      </c>
      <c r="H282" s="15">
        <v>57</v>
      </c>
      <c r="I282" s="12">
        <f t="shared" si="8"/>
        <v>78</v>
      </c>
      <c r="J282" s="4" t="str">
        <f>IFERROR(VLOOKUP(B282,Referência!$A$5:$I$16,9,FALSE),"")</f>
        <v>minutos</v>
      </c>
      <c r="K282" s="6" t="s">
        <v>105</v>
      </c>
      <c r="L282" s="5" t="s">
        <v>106</v>
      </c>
      <c r="M282" s="8">
        <v>46276</v>
      </c>
      <c r="N282" s="5" t="s">
        <v>88</v>
      </c>
      <c r="O282" s="5" t="s">
        <v>24</v>
      </c>
      <c r="P282" s="4" t="str">
        <f t="shared" si="9"/>
        <v>COMPLETO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>
      <c r="A283" s="7">
        <v>46235</v>
      </c>
      <c r="B283" s="2" t="s">
        <v>104</v>
      </c>
      <c r="C283" s="3" t="str">
        <f>IFERROR(VLOOKUP(B283,Referência!$A$5:$I$16,2,FALSE),"")</f>
        <v>Tempo médio de espera do pronto atendimento ao pré-parto</v>
      </c>
      <c r="D283" s="2" t="s">
        <v>85</v>
      </c>
      <c r="E283" s="2" t="s">
        <v>103</v>
      </c>
      <c r="F283" s="11">
        <v>79</v>
      </c>
      <c r="G283" s="15">
        <v>9006</v>
      </c>
      <c r="H283" s="15">
        <v>114</v>
      </c>
      <c r="I283" s="12">
        <f t="shared" si="8"/>
        <v>79</v>
      </c>
      <c r="J283" s="4" t="str">
        <f>IFERROR(VLOOKUP(B283,Referência!$A$5:$I$16,9,FALSE),"")</f>
        <v>minutos</v>
      </c>
      <c r="K283" s="6" t="s">
        <v>105</v>
      </c>
      <c r="L283" s="5" t="s">
        <v>106</v>
      </c>
      <c r="M283" s="8">
        <v>46276</v>
      </c>
      <c r="N283" s="5" t="s">
        <v>88</v>
      </c>
      <c r="O283" s="5" t="s">
        <v>24</v>
      </c>
      <c r="P283" s="4" t="str">
        <f t="shared" si="9"/>
        <v>COMPLETO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7">
        <v>46023</v>
      </c>
      <c r="B284" s="2" t="s">
        <v>107</v>
      </c>
      <c r="C284" s="3" t="str">
        <f>IFERROR(VLOOKUP(B284,Referência!$A$5:$I$16,2,FALSE),"")</f>
        <v>Percentual de internações por condições sensíveis à atenção primária</v>
      </c>
      <c r="D284" s="2" t="s">
        <v>85</v>
      </c>
      <c r="E284" s="2" t="s">
        <v>20</v>
      </c>
      <c r="F284" s="2">
        <v>0.214</v>
      </c>
      <c r="G284" s="15">
        <v>183</v>
      </c>
      <c r="H284" s="15">
        <v>855</v>
      </c>
      <c r="I284" s="4">
        <f t="shared" si="8"/>
        <v>0.214</v>
      </c>
      <c r="J284" s="4" t="str">
        <f>IFERROR(VLOOKUP(B284,Referência!$A$5:$I$16,9,FALSE),"")</f>
        <v>percentual</v>
      </c>
      <c r="K284" s="6"/>
      <c r="L284" s="5" t="s">
        <v>108</v>
      </c>
      <c r="M284" s="8">
        <v>46276</v>
      </c>
      <c r="N284" s="5" t="s">
        <v>88</v>
      </c>
      <c r="O284" s="5" t="s">
        <v>109</v>
      </c>
      <c r="P284" s="4" t="str">
        <f t="shared" si="9"/>
        <v>COMPLETO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7">
        <v>46054</v>
      </c>
      <c r="B285" s="2" t="s">
        <v>107</v>
      </c>
      <c r="C285" s="3" t="str">
        <f>IFERROR(VLOOKUP(B285,Referência!$A$5:$I$16,2,FALSE),"")</f>
        <v>Percentual de internações por condições sensíveis à atenção primária</v>
      </c>
      <c r="D285" s="2" t="s">
        <v>85</v>
      </c>
      <c r="E285" s="2" t="s">
        <v>20</v>
      </c>
      <c r="F285" s="2">
        <v>0.20799999999999999</v>
      </c>
      <c r="G285" s="15">
        <v>181</v>
      </c>
      <c r="H285" s="15">
        <v>870</v>
      </c>
      <c r="I285" s="4">
        <f t="shared" si="8"/>
        <v>0.20799999999999999</v>
      </c>
      <c r="J285" s="4" t="str">
        <f>IFERROR(VLOOKUP(B285,Referência!$A$5:$I$16,9,FALSE),"")</f>
        <v>percentual</v>
      </c>
      <c r="K285" s="6"/>
      <c r="L285" s="5" t="s">
        <v>108</v>
      </c>
      <c r="M285" s="8">
        <v>46276</v>
      </c>
      <c r="N285" s="5" t="s">
        <v>88</v>
      </c>
      <c r="O285" s="5" t="s">
        <v>109</v>
      </c>
      <c r="P285" s="4" t="str">
        <f t="shared" si="9"/>
        <v>COMPLETO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7">
        <v>46082</v>
      </c>
      <c r="B286" s="2" t="s">
        <v>107</v>
      </c>
      <c r="C286" s="3" t="str">
        <f>IFERROR(VLOOKUP(B286,Referência!$A$5:$I$16,2,FALSE),"")</f>
        <v>Percentual de internações por condições sensíveis à atenção primária</v>
      </c>
      <c r="D286" s="2" t="s">
        <v>85</v>
      </c>
      <c r="E286" s="2" t="s">
        <v>20</v>
      </c>
      <c r="F286" s="2">
        <v>0.19600000000000001</v>
      </c>
      <c r="G286" s="15">
        <v>175</v>
      </c>
      <c r="H286" s="15">
        <v>893</v>
      </c>
      <c r="I286" s="4">
        <f t="shared" si="8"/>
        <v>0.19600000000000001</v>
      </c>
      <c r="J286" s="4" t="str">
        <f>IFERROR(VLOOKUP(B286,Referência!$A$5:$I$16,9,FALSE),"")</f>
        <v>percentual</v>
      </c>
      <c r="K286" s="6"/>
      <c r="L286" s="5" t="s">
        <v>108</v>
      </c>
      <c r="M286" s="8">
        <v>46276</v>
      </c>
      <c r="N286" s="5" t="s">
        <v>88</v>
      </c>
      <c r="O286" s="5" t="s">
        <v>109</v>
      </c>
      <c r="P286" s="4" t="str">
        <f t="shared" si="9"/>
        <v>COMPLETO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7">
        <v>46113</v>
      </c>
      <c r="B287" s="2" t="s">
        <v>107</v>
      </c>
      <c r="C287" s="3" t="str">
        <f>IFERROR(VLOOKUP(B287,Referência!$A$5:$I$16,2,FALSE),"")</f>
        <v>Percentual de internações por condições sensíveis à atenção primária</v>
      </c>
      <c r="D287" s="2" t="s">
        <v>85</v>
      </c>
      <c r="E287" s="2" t="s">
        <v>20</v>
      </c>
      <c r="F287" s="2">
        <v>0.189</v>
      </c>
      <c r="G287" s="15">
        <v>172</v>
      </c>
      <c r="H287" s="15">
        <v>910</v>
      </c>
      <c r="I287" s="4">
        <f t="shared" si="8"/>
        <v>0.189</v>
      </c>
      <c r="J287" s="4" t="str">
        <f>IFERROR(VLOOKUP(B287,Referência!$A$5:$I$16,9,FALSE),"")</f>
        <v>percentual</v>
      </c>
      <c r="K287" s="6"/>
      <c r="L287" s="5" t="s">
        <v>108</v>
      </c>
      <c r="M287" s="8">
        <v>46276</v>
      </c>
      <c r="N287" s="5" t="s">
        <v>88</v>
      </c>
      <c r="O287" s="5" t="s">
        <v>109</v>
      </c>
      <c r="P287" s="4" t="str">
        <f t="shared" si="9"/>
        <v>COMPLETO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7">
        <v>46143</v>
      </c>
      <c r="B288" s="2" t="s">
        <v>107</v>
      </c>
      <c r="C288" s="3" t="str">
        <f>IFERROR(VLOOKUP(B288,Referência!$A$5:$I$16,2,FALSE),"")</f>
        <v>Percentual de internações por condições sensíveis à atenção primária</v>
      </c>
      <c r="D288" s="2" t="s">
        <v>85</v>
      </c>
      <c r="E288" s="2" t="s">
        <v>20</v>
      </c>
      <c r="F288" s="2">
        <v>0.193</v>
      </c>
      <c r="G288" s="15">
        <v>172</v>
      </c>
      <c r="H288" s="15">
        <v>891</v>
      </c>
      <c r="I288" s="4">
        <f t="shared" si="8"/>
        <v>0.193</v>
      </c>
      <c r="J288" s="4" t="str">
        <f>IFERROR(VLOOKUP(B288,Referência!$A$5:$I$16,9,FALSE),"")</f>
        <v>percentual</v>
      </c>
      <c r="K288" s="6"/>
      <c r="L288" s="5" t="s">
        <v>108</v>
      </c>
      <c r="M288" s="8">
        <v>46276</v>
      </c>
      <c r="N288" s="5" t="s">
        <v>88</v>
      </c>
      <c r="O288" s="5" t="s">
        <v>109</v>
      </c>
      <c r="P288" s="4" t="str">
        <f t="shared" si="9"/>
        <v>COMPLETO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7">
        <v>46174</v>
      </c>
      <c r="B289" s="2" t="s">
        <v>107</v>
      </c>
      <c r="C289" s="3" t="str">
        <f>IFERROR(VLOOKUP(B289,Referência!$A$5:$I$16,2,FALSE),"")</f>
        <v>Percentual de internações por condições sensíveis à atenção primária</v>
      </c>
      <c r="D289" s="2" t="s">
        <v>85</v>
      </c>
      <c r="E289" s="2" t="s">
        <v>20</v>
      </c>
      <c r="F289" s="2">
        <v>0.187</v>
      </c>
      <c r="G289" s="15">
        <v>172</v>
      </c>
      <c r="H289" s="15">
        <v>920</v>
      </c>
      <c r="I289" s="4">
        <f t="shared" si="8"/>
        <v>0.187</v>
      </c>
      <c r="J289" s="4" t="str">
        <f>IFERROR(VLOOKUP(B289,Referência!$A$5:$I$16,9,FALSE),"")</f>
        <v>percentual</v>
      </c>
      <c r="K289" s="6"/>
      <c r="L289" s="5" t="s">
        <v>108</v>
      </c>
      <c r="M289" s="8">
        <v>46276</v>
      </c>
      <c r="N289" s="5" t="s">
        <v>88</v>
      </c>
      <c r="O289" s="5" t="s">
        <v>109</v>
      </c>
      <c r="P289" s="4" t="str">
        <f t="shared" si="9"/>
        <v>COMPLETO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7">
        <v>46204</v>
      </c>
      <c r="B290" s="2" t="s">
        <v>107</v>
      </c>
      <c r="C290" s="3" t="str">
        <f>IFERROR(VLOOKUP(B290,Referência!$A$5:$I$16,2,FALSE),"")</f>
        <v>Percentual de internações por condições sensíveis à atenção primária</v>
      </c>
      <c r="D290" s="2" t="s">
        <v>85</v>
      </c>
      <c r="E290" s="2" t="s">
        <v>20</v>
      </c>
      <c r="F290" s="2">
        <v>0.182</v>
      </c>
      <c r="G290" s="15">
        <v>172</v>
      </c>
      <c r="H290" s="15">
        <v>945</v>
      </c>
      <c r="I290" s="4">
        <f t="shared" si="8"/>
        <v>0.182</v>
      </c>
      <c r="J290" s="4" t="str">
        <f>IFERROR(VLOOKUP(B290,Referência!$A$5:$I$16,9,FALSE),"")</f>
        <v>percentual</v>
      </c>
      <c r="K290" s="6"/>
      <c r="L290" s="5" t="s">
        <v>108</v>
      </c>
      <c r="M290" s="8">
        <v>46276</v>
      </c>
      <c r="N290" s="5" t="s">
        <v>88</v>
      </c>
      <c r="O290" s="5" t="s">
        <v>109</v>
      </c>
      <c r="P290" s="4" t="str">
        <f t="shared" si="9"/>
        <v>COMPLETO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7">
        <v>46235</v>
      </c>
      <c r="B291" s="2" t="s">
        <v>107</v>
      </c>
      <c r="C291" s="3" t="str">
        <f>IFERROR(VLOOKUP(B291,Referência!$A$5:$I$16,2,FALSE),"")</f>
        <v>Percentual de internações por condições sensíveis à atenção primária</v>
      </c>
      <c r="D291" s="2" t="s">
        <v>85</v>
      </c>
      <c r="E291" s="2" t="s">
        <v>20</v>
      </c>
      <c r="F291" s="2">
        <v>0.17799999999999999</v>
      </c>
      <c r="G291" s="15">
        <v>170</v>
      </c>
      <c r="H291" s="15">
        <v>955</v>
      </c>
      <c r="I291" s="4">
        <f t="shared" si="8"/>
        <v>0.17799999999999999</v>
      </c>
      <c r="J291" s="4" t="str">
        <f>IFERROR(VLOOKUP(B291,Referência!$A$5:$I$16,9,FALSE),"")</f>
        <v>percentual</v>
      </c>
      <c r="K291" s="6"/>
      <c r="L291" s="5" t="s">
        <v>108</v>
      </c>
      <c r="M291" s="8">
        <v>46276</v>
      </c>
      <c r="N291" s="5" t="s">
        <v>88</v>
      </c>
      <c r="O291" s="5" t="s">
        <v>109</v>
      </c>
      <c r="P291" s="4" t="str">
        <f t="shared" si="9"/>
        <v>COMPLETO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7"/>
      <c r="B292" s="2"/>
      <c r="C292" s="3" t="str">
        <f>IFERROR(VLOOKUP(B292,Referência!$A$5:$I$16,2,FALSE),"")</f>
        <v/>
      </c>
      <c r="D292" s="2"/>
      <c r="E292" s="2"/>
      <c r="F292" s="2"/>
      <c r="G292" s="15"/>
      <c r="H292" s="15"/>
      <c r="I292" s="4" t="str">
        <f t="shared" si="8"/>
        <v/>
      </c>
      <c r="J292" s="4" t="str">
        <f>IFERROR(VLOOKUP(B292,Referência!$A$5:$I$16,9,FALSE),"")</f>
        <v/>
      </c>
      <c r="K292" s="6"/>
      <c r="L292" s="5"/>
      <c r="M292" s="8"/>
      <c r="N292" s="5"/>
      <c r="O292" s="5"/>
      <c r="P292" s="4" t="str">
        <f t="shared" si="9"/>
        <v/>
      </c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7"/>
      <c r="B293" s="2"/>
      <c r="C293" s="3" t="str">
        <f>IFERROR(VLOOKUP(B293,Referência!$A$5:$I$16,2,FALSE),"")</f>
        <v/>
      </c>
      <c r="D293" s="2"/>
      <c r="E293" s="2"/>
      <c r="F293" s="2"/>
      <c r="G293" s="15"/>
      <c r="H293" s="15"/>
      <c r="I293" s="4" t="str">
        <f t="shared" si="8"/>
        <v/>
      </c>
      <c r="J293" s="4" t="str">
        <f>IFERROR(VLOOKUP(B293,Referência!$A$5:$I$16,9,FALSE),"")</f>
        <v/>
      </c>
      <c r="K293" s="6"/>
      <c r="L293" s="5"/>
      <c r="M293" s="8"/>
      <c r="N293" s="5"/>
      <c r="O293" s="5"/>
      <c r="P293" s="4" t="str">
        <f t="shared" si="9"/>
        <v/>
      </c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7"/>
      <c r="B294" s="2"/>
      <c r="C294" s="3" t="str">
        <f>IFERROR(VLOOKUP(B294,Referência!$A$5:$I$16,2,FALSE),"")</f>
        <v/>
      </c>
      <c r="D294" s="2"/>
      <c r="E294" s="2"/>
      <c r="F294" s="2"/>
      <c r="G294" s="15"/>
      <c r="H294" s="15"/>
      <c r="I294" s="4" t="str">
        <f t="shared" si="8"/>
        <v/>
      </c>
      <c r="J294" s="4" t="str">
        <f>IFERROR(VLOOKUP(B294,Referência!$A$5:$I$16,9,FALSE),"")</f>
        <v/>
      </c>
      <c r="K294" s="6"/>
      <c r="L294" s="5"/>
      <c r="M294" s="8"/>
      <c r="N294" s="5"/>
      <c r="O294" s="5"/>
      <c r="P294" s="4" t="str">
        <f t="shared" si="9"/>
        <v/>
      </c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7"/>
      <c r="B295" s="2"/>
      <c r="C295" s="3" t="str">
        <f>IFERROR(VLOOKUP(B295,Referência!$A$5:$I$16,2,FALSE),"")</f>
        <v/>
      </c>
      <c r="D295" s="2"/>
      <c r="E295" s="2"/>
      <c r="F295" s="2"/>
      <c r="G295" s="15"/>
      <c r="H295" s="15"/>
      <c r="I295" s="4" t="str">
        <f t="shared" si="8"/>
        <v/>
      </c>
      <c r="J295" s="4" t="str">
        <f>IFERROR(VLOOKUP(B295,Referência!$A$5:$I$16,9,FALSE),"")</f>
        <v/>
      </c>
      <c r="K295" s="6"/>
      <c r="L295" s="5"/>
      <c r="M295" s="8"/>
      <c r="N295" s="5"/>
      <c r="O295" s="5"/>
      <c r="P295" s="4" t="str">
        <f t="shared" si="9"/>
        <v/>
      </c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7"/>
      <c r="B296" s="2"/>
      <c r="C296" s="3" t="str">
        <f>IFERROR(VLOOKUP(B296,Referência!$A$5:$I$16,2,FALSE),"")</f>
        <v/>
      </c>
      <c r="D296" s="2"/>
      <c r="E296" s="2"/>
      <c r="F296" s="2"/>
      <c r="G296" s="15"/>
      <c r="H296" s="15"/>
      <c r="I296" s="4" t="str">
        <f t="shared" si="8"/>
        <v/>
      </c>
      <c r="J296" s="4" t="str">
        <f>IFERROR(VLOOKUP(B296,Referência!$A$5:$I$16,9,FALSE),"")</f>
        <v/>
      </c>
      <c r="K296" s="6"/>
      <c r="L296" s="5"/>
      <c r="M296" s="8"/>
      <c r="N296" s="5"/>
      <c r="O296" s="5"/>
      <c r="P296" s="4" t="str">
        <f t="shared" si="9"/>
        <v/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7"/>
      <c r="B297" s="2"/>
      <c r="C297" s="3" t="str">
        <f>IFERROR(VLOOKUP(B297,Referência!$A$5:$I$16,2,FALSE),"")</f>
        <v/>
      </c>
      <c r="D297" s="2"/>
      <c r="E297" s="2"/>
      <c r="F297" s="2"/>
      <c r="G297" s="15"/>
      <c r="H297" s="15"/>
      <c r="I297" s="4" t="str">
        <f t="shared" si="8"/>
        <v/>
      </c>
      <c r="J297" s="4" t="str">
        <f>IFERROR(VLOOKUP(B297,Referência!$A$5:$I$16,9,FALSE),"")</f>
        <v/>
      </c>
      <c r="K297" s="6"/>
      <c r="L297" s="5"/>
      <c r="M297" s="8"/>
      <c r="N297" s="5"/>
      <c r="O297" s="5"/>
      <c r="P297" s="4" t="str">
        <f t="shared" si="9"/>
        <v/>
      </c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7"/>
      <c r="B298" s="2"/>
      <c r="C298" s="3" t="str">
        <f>IFERROR(VLOOKUP(B298,Referência!$A$5:$I$16,2,FALSE),"")</f>
        <v/>
      </c>
      <c r="D298" s="2"/>
      <c r="E298" s="2"/>
      <c r="F298" s="2"/>
      <c r="G298" s="15"/>
      <c r="H298" s="15"/>
      <c r="I298" s="4" t="str">
        <f t="shared" si="8"/>
        <v/>
      </c>
      <c r="J298" s="4" t="str">
        <f>IFERROR(VLOOKUP(B298,Referência!$A$5:$I$16,9,FALSE),"")</f>
        <v/>
      </c>
      <c r="K298" s="6"/>
      <c r="L298" s="5"/>
      <c r="M298" s="8"/>
      <c r="N298" s="5"/>
      <c r="O298" s="5"/>
      <c r="P298" s="4" t="str">
        <f t="shared" si="9"/>
        <v/>
      </c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7"/>
      <c r="B299" s="2"/>
      <c r="C299" s="3" t="str">
        <f>IFERROR(VLOOKUP(B299,Referência!$A$5:$I$16,2,FALSE),"")</f>
        <v/>
      </c>
      <c r="D299" s="2"/>
      <c r="E299" s="2"/>
      <c r="F299" s="2"/>
      <c r="G299" s="15"/>
      <c r="H299" s="15"/>
      <c r="I299" s="4" t="str">
        <f t="shared" si="8"/>
        <v/>
      </c>
      <c r="J299" s="4" t="str">
        <f>IFERROR(VLOOKUP(B299,Referência!$A$5:$I$16,9,FALSE),"")</f>
        <v/>
      </c>
      <c r="K299" s="6"/>
      <c r="L299" s="5"/>
      <c r="M299" s="8"/>
      <c r="N299" s="5"/>
      <c r="O299" s="5"/>
      <c r="P299" s="4" t="str">
        <f t="shared" si="9"/>
        <v/>
      </c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7"/>
      <c r="B300" s="2"/>
      <c r="C300" s="3" t="str">
        <f>IFERROR(VLOOKUP(B300,Referência!$A$5:$I$16,2,FALSE),"")</f>
        <v/>
      </c>
      <c r="D300" s="2"/>
      <c r="E300" s="2"/>
      <c r="F300" s="2"/>
      <c r="G300" s="15"/>
      <c r="H300" s="15"/>
      <c r="I300" s="4" t="str">
        <f t="shared" si="8"/>
        <v/>
      </c>
      <c r="J300" s="4" t="str">
        <f>IFERROR(VLOOKUP(B300,Referência!$A$5:$I$16,9,FALSE),"")</f>
        <v/>
      </c>
      <c r="K300" s="6"/>
      <c r="L300" s="5"/>
      <c r="M300" s="8"/>
      <c r="N300" s="5"/>
      <c r="O300" s="5"/>
      <c r="P300" s="4" t="str">
        <f t="shared" si="9"/>
        <v/>
      </c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7"/>
      <c r="B301" s="2"/>
      <c r="C301" s="3" t="str">
        <f>IFERROR(VLOOKUP(B301,Referência!$A$5:$I$16,2,FALSE),"")</f>
        <v/>
      </c>
      <c r="D301" s="2"/>
      <c r="E301" s="2"/>
      <c r="F301" s="2"/>
      <c r="G301" s="15"/>
      <c r="H301" s="15"/>
      <c r="I301" s="4" t="str">
        <f t="shared" si="8"/>
        <v/>
      </c>
      <c r="J301" s="4" t="str">
        <f>IFERROR(VLOOKUP(B301,Referência!$A$5:$I$16,9,FALSE),"")</f>
        <v/>
      </c>
      <c r="K301" s="6"/>
      <c r="L301" s="5"/>
      <c r="M301" s="8"/>
      <c r="N301" s="5"/>
      <c r="O301" s="5"/>
      <c r="P301" s="4" t="str">
        <f t="shared" si="9"/>
        <v/>
      </c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7"/>
      <c r="B302" s="2"/>
      <c r="C302" s="3" t="str">
        <f>IFERROR(VLOOKUP(B302,Referência!$A$5:$I$16,2,FALSE),"")</f>
        <v/>
      </c>
      <c r="D302" s="2"/>
      <c r="E302" s="2"/>
      <c r="F302" s="2"/>
      <c r="G302" s="15"/>
      <c r="H302" s="15"/>
      <c r="I302" s="4" t="str">
        <f t="shared" si="8"/>
        <v/>
      </c>
      <c r="J302" s="4" t="str">
        <f>IFERROR(VLOOKUP(B302,Referência!$A$5:$I$16,9,FALSE),"")</f>
        <v/>
      </c>
      <c r="K302" s="6"/>
      <c r="L302" s="5"/>
      <c r="M302" s="8"/>
      <c r="N302" s="5"/>
      <c r="O302" s="5"/>
      <c r="P302" s="4" t="str">
        <f t="shared" si="9"/>
        <v/>
      </c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7"/>
      <c r="B303" s="2"/>
      <c r="C303" s="3" t="str">
        <f>IFERROR(VLOOKUP(B303,Referência!$A$5:$I$16,2,FALSE),"")</f>
        <v/>
      </c>
      <c r="D303" s="2"/>
      <c r="E303" s="2"/>
      <c r="F303" s="2"/>
      <c r="G303" s="15"/>
      <c r="H303" s="15"/>
      <c r="I303" s="4" t="str">
        <f t="shared" si="8"/>
        <v/>
      </c>
      <c r="J303" s="4" t="str">
        <f>IFERROR(VLOOKUP(B303,Referência!$A$5:$I$16,9,FALSE),"")</f>
        <v/>
      </c>
      <c r="K303" s="6"/>
      <c r="L303" s="5"/>
      <c r="M303" s="8"/>
      <c r="N303" s="5"/>
      <c r="O303" s="5"/>
      <c r="P303" s="4" t="str">
        <f t="shared" si="9"/>
        <v/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7"/>
      <c r="B304" s="2"/>
      <c r="C304" s="3" t="str">
        <f>IFERROR(VLOOKUP(B304,Referência!$A$5:$I$16,2,FALSE),"")</f>
        <v/>
      </c>
      <c r="D304" s="2"/>
      <c r="E304" s="2"/>
      <c r="F304" s="2"/>
      <c r="G304" s="15"/>
      <c r="H304" s="15"/>
      <c r="I304" s="4" t="str">
        <f t="shared" si="8"/>
        <v/>
      </c>
      <c r="J304" s="4" t="str">
        <f>IFERROR(VLOOKUP(B304,Referência!$A$5:$I$16,9,FALSE),"")</f>
        <v/>
      </c>
      <c r="K304" s="6"/>
      <c r="L304" s="5"/>
      <c r="M304" s="8"/>
      <c r="N304" s="5"/>
      <c r="O304" s="5"/>
      <c r="P304" s="4" t="str">
        <f t="shared" si="9"/>
        <v/>
      </c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7"/>
      <c r="B305" s="2"/>
      <c r="C305" s="3" t="str">
        <f>IFERROR(VLOOKUP(B305,Referência!$A$5:$I$16,2,FALSE),"")</f>
        <v/>
      </c>
      <c r="D305" s="2"/>
      <c r="E305" s="2"/>
      <c r="F305" s="2"/>
      <c r="G305" s="15"/>
      <c r="H305" s="15"/>
      <c r="I305" s="4" t="str">
        <f t="shared" si="8"/>
        <v/>
      </c>
      <c r="J305" s="4" t="str">
        <f>IFERROR(VLOOKUP(B305,Referência!$A$5:$I$16,9,FALSE),"")</f>
        <v/>
      </c>
      <c r="K305" s="6"/>
      <c r="L305" s="5"/>
      <c r="M305" s="8"/>
      <c r="N305" s="5"/>
      <c r="O305" s="5"/>
      <c r="P305" s="4" t="str">
        <f t="shared" si="9"/>
        <v/>
      </c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7"/>
      <c r="B306" s="2"/>
      <c r="C306" s="3" t="str">
        <f>IFERROR(VLOOKUP(B306,Referência!$A$5:$I$16,2,FALSE),"")</f>
        <v/>
      </c>
      <c r="D306" s="2"/>
      <c r="E306" s="2"/>
      <c r="F306" s="2"/>
      <c r="G306" s="15"/>
      <c r="H306" s="15"/>
      <c r="I306" s="4" t="str">
        <f t="shared" si="8"/>
        <v/>
      </c>
      <c r="J306" s="4" t="str">
        <f>IFERROR(VLOOKUP(B306,Referência!$A$5:$I$16,9,FALSE),"")</f>
        <v/>
      </c>
      <c r="K306" s="6"/>
      <c r="L306" s="5"/>
      <c r="M306" s="8"/>
      <c r="N306" s="5"/>
      <c r="O306" s="5"/>
      <c r="P306" s="4" t="str">
        <f t="shared" si="9"/>
        <v/>
      </c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7"/>
      <c r="B307" s="2"/>
      <c r="C307" s="3" t="str">
        <f>IFERROR(VLOOKUP(B307,Referência!$A$5:$I$16,2,FALSE),"")</f>
        <v/>
      </c>
      <c r="D307" s="2"/>
      <c r="E307" s="2"/>
      <c r="F307" s="2"/>
      <c r="G307" s="15"/>
      <c r="H307" s="15"/>
      <c r="I307" s="4" t="str">
        <f t="shared" si="8"/>
        <v/>
      </c>
      <c r="J307" s="4" t="str">
        <f>IFERROR(VLOOKUP(B307,Referência!$A$5:$I$16,9,FALSE),"")</f>
        <v/>
      </c>
      <c r="K307" s="6"/>
      <c r="L307" s="5"/>
      <c r="M307" s="8"/>
      <c r="N307" s="5"/>
      <c r="O307" s="5"/>
      <c r="P307" s="4" t="str">
        <f t="shared" si="9"/>
        <v/>
      </c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7"/>
      <c r="B308" s="2"/>
      <c r="C308" s="3" t="str">
        <f>IFERROR(VLOOKUP(B308,Referência!$A$5:$I$16,2,FALSE),"")</f>
        <v/>
      </c>
      <c r="D308" s="2"/>
      <c r="E308" s="2"/>
      <c r="F308" s="2"/>
      <c r="G308" s="15"/>
      <c r="H308" s="15"/>
      <c r="I308" s="4" t="str">
        <f t="shared" si="8"/>
        <v/>
      </c>
      <c r="J308" s="4" t="str">
        <f>IFERROR(VLOOKUP(B308,Referência!$A$5:$I$16,9,FALSE),"")</f>
        <v/>
      </c>
      <c r="K308" s="6"/>
      <c r="L308" s="5"/>
      <c r="M308" s="8"/>
      <c r="N308" s="5"/>
      <c r="O308" s="5"/>
      <c r="P308" s="4" t="str">
        <f t="shared" si="9"/>
        <v/>
      </c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7"/>
      <c r="B309" s="2"/>
      <c r="C309" s="3" t="str">
        <f>IFERROR(VLOOKUP(B309,Referência!$A$5:$I$16,2,FALSE),"")</f>
        <v/>
      </c>
      <c r="D309" s="2"/>
      <c r="E309" s="2"/>
      <c r="F309" s="2"/>
      <c r="G309" s="15"/>
      <c r="H309" s="15"/>
      <c r="I309" s="4" t="str">
        <f t="shared" si="8"/>
        <v/>
      </c>
      <c r="J309" s="4" t="str">
        <f>IFERROR(VLOOKUP(B309,Referência!$A$5:$I$16,9,FALSE),"")</f>
        <v/>
      </c>
      <c r="K309" s="6"/>
      <c r="L309" s="5"/>
      <c r="M309" s="8"/>
      <c r="N309" s="5"/>
      <c r="O309" s="5"/>
      <c r="P309" s="4" t="str">
        <f t="shared" si="9"/>
        <v/>
      </c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7"/>
      <c r="B310" s="2"/>
      <c r="C310" s="3" t="str">
        <f>IFERROR(VLOOKUP(B310,Referência!$A$5:$I$16,2,FALSE),"")</f>
        <v/>
      </c>
      <c r="D310" s="2"/>
      <c r="E310" s="2"/>
      <c r="F310" s="2"/>
      <c r="G310" s="15"/>
      <c r="H310" s="15"/>
      <c r="I310" s="4" t="str">
        <f t="shared" si="8"/>
        <v/>
      </c>
      <c r="J310" s="4" t="str">
        <f>IFERROR(VLOOKUP(B310,Referência!$A$5:$I$16,9,FALSE),"")</f>
        <v/>
      </c>
      <c r="K310" s="6"/>
      <c r="L310" s="5"/>
      <c r="M310" s="8"/>
      <c r="N310" s="5"/>
      <c r="O310" s="5"/>
      <c r="P310" s="4" t="str">
        <f t="shared" si="9"/>
        <v/>
      </c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7"/>
      <c r="B311" s="2"/>
      <c r="C311" s="3" t="str">
        <f>IFERROR(VLOOKUP(B311,Referência!$A$5:$I$16,2,FALSE),"")</f>
        <v/>
      </c>
      <c r="D311" s="2"/>
      <c r="E311" s="2"/>
      <c r="F311" s="2"/>
      <c r="G311" s="15"/>
      <c r="H311" s="15"/>
      <c r="I311" s="4" t="str">
        <f t="shared" si="8"/>
        <v/>
      </c>
      <c r="J311" s="4" t="str">
        <f>IFERROR(VLOOKUP(B311,Referência!$A$5:$I$16,9,FALSE),"")</f>
        <v/>
      </c>
      <c r="K311" s="6"/>
      <c r="L311" s="5"/>
      <c r="M311" s="8"/>
      <c r="N311" s="5"/>
      <c r="O311" s="5"/>
      <c r="P311" s="4" t="str">
        <f t="shared" si="9"/>
        <v/>
      </c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7"/>
      <c r="B312" s="2"/>
      <c r="C312" s="3" t="str">
        <f>IFERROR(VLOOKUP(B312,Referência!$A$5:$I$16,2,FALSE),"")</f>
        <v/>
      </c>
      <c r="D312" s="2"/>
      <c r="E312" s="2"/>
      <c r="F312" s="2"/>
      <c r="G312" s="15"/>
      <c r="H312" s="15"/>
      <c r="I312" s="4" t="str">
        <f t="shared" si="8"/>
        <v/>
      </c>
      <c r="J312" s="4" t="str">
        <f>IFERROR(VLOOKUP(B312,Referência!$A$5:$I$16,9,FALSE),"")</f>
        <v/>
      </c>
      <c r="K312" s="6"/>
      <c r="L312" s="5"/>
      <c r="M312" s="8"/>
      <c r="N312" s="5"/>
      <c r="O312" s="5"/>
      <c r="P312" s="4" t="str">
        <f t="shared" si="9"/>
        <v/>
      </c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7"/>
      <c r="B313" s="2"/>
      <c r="C313" s="3" t="str">
        <f>IFERROR(VLOOKUP(B313,Referência!$A$5:$I$16,2,FALSE),"")</f>
        <v/>
      </c>
      <c r="D313" s="2"/>
      <c r="E313" s="2"/>
      <c r="F313" s="2"/>
      <c r="G313" s="15"/>
      <c r="H313" s="15"/>
      <c r="I313" s="4" t="str">
        <f t="shared" si="8"/>
        <v/>
      </c>
      <c r="J313" s="4" t="str">
        <f>IFERROR(VLOOKUP(B313,Referência!$A$5:$I$16,9,FALSE),"")</f>
        <v/>
      </c>
      <c r="K313" s="6"/>
      <c r="L313" s="5"/>
      <c r="M313" s="8"/>
      <c r="N313" s="5"/>
      <c r="O313" s="5"/>
      <c r="P313" s="4" t="str">
        <f t="shared" si="9"/>
        <v/>
      </c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7"/>
      <c r="B314" s="2"/>
      <c r="C314" s="3" t="str">
        <f>IFERROR(VLOOKUP(B314,Referência!$A$5:$I$16,2,FALSE),"")</f>
        <v/>
      </c>
      <c r="D314" s="2"/>
      <c r="E314" s="2"/>
      <c r="F314" s="2"/>
      <c r="G314" s="15"/>
      <c r="H314" s="15"/>
      <c r="I314" s="4" t="str">
        <f t="shared" si="8"/>
        <v/>
      </c>
      <c r="J314" s="4" t="str">
        <f>IFERROR(VLOOKUP(B314,Referência!$A$5:$I$16,9,FALSE),"")</f>
        <v/>
      </c>
      <c r="K314" s="6"/>
      <c r="L314" s="5"/>
      <c r="M314" s="8"/>
      <c r="N314" s="5"/>
      <c r="O314" s="5"/>
      <c r="P314" s="4" t="str">
        <f t="shared" si="9"/>
        <v/>
      </c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7"/>
      <c r="B315" s="2"/>
      <c r="C315" s="3" t="str">
        <f>IFERROR(VLOOKUP(B315,Referência!$A$5:$I$16,2,FALSE),"")</f>
        <v/>
      </c>
      <c r="D315" s="2"/>
      <c r="E315" s="2"/>
      <c r="F315" s="2"/>
      <c r="G315" s="15"/>
      <c r="H315" s="15"/>
      <c r="I315" s="4" t="str">
        <f t="shared" si="8"/>
        <v/>
      </c>
      <c r="J315" s="4" t="str">
        <f>IFERROR(VLOOKUP(B315,Referência!$A$5:$I$16,9,FALSE),"")</f>
        <v/>
      </c>
      <c r="K315" s="6"/>
      <c r="L315" s="5"/>
      <c r="M315" s="8"/>
      <c r="N315" s="5"/>
      <c r="O315" s="5"/>
      <c r="P315" s="4" t="str">
        <f t="shared" si="9"/>
        <v/>
      </c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7"/>
      <c r="B316" s="2"/>
      <c r="C316" s="3" t="str">
        <f>IFERROR(VLOOKUP(B316,Referência!$A$5:$I$16,2,FALSE),"")</f>
        <v/>
      </c>
      <c r="D316" s="2"/>
      <c r="E316" s="2"/>
      <c r="F316" s="2"/>
      <c r="G316" s="15"/>
      <c r="H316" s="15"/>
      <c r="I316" s="4" t="str">
        <f t="shared" si="8"/>
        <v/>
      </c>
      <c r="J316" s="4" t="str">
        <f>IFERROR(VLOOKUP(B316,Referência!$A$5:$I$16,9,FALSE),"")</f>
        <v/>
      </c>
      <c r="K316" s="6"/>
      <c r="L316" s="5"/>
      <c r="M316" s="8"/>
      <c r="N316" s="5"/>
      <c r="O316" s="5"/>
      <c r="P316" s="4" t="str">
        <f t="shared" si="9"/>
        <v/>
      </c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7"/>
      <c r="B317" s="2"/>
      <c r="C317" s="3" t="str">
        <f>IFERROR(VLOOKUP(B317,Referência!$A$5:$I$16,2,FALSE),"")</f>
        <v/>
      </c>
      <c r="D317" s="2"/>
      <c r="E317" s="2"/>
      <c r="F317" s="2"/>
      <c r="G317" s="15"/>
      <c r="H317" s="15"/>
      <c r="I317" s="4" t="str">
        <f t="shared" si="8"/>
        <v/>
      </c>
      <c r="J317" s="4" t="str">
        <f>IFERROR(VLOOKUP(B317,Referência!$A$5:$I$16,9,FALSE),"")</f>
        <v/>
      </c>
      <c r="K317" s="6"/>
      <c r="L317" s="5"/>
      <c r="M317" s="8"/>
      <c r="N317" s="5"/>
      <c r="O317" s="5"/>
      <c r="P317" s="4" t="str">
        <f t="shared" si="9"/>
        <v/>
      </c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7"/>
      <c r="B318" s="2"/>
      <c r="C318" s="3" t="str">
        <f>IFERROR(VLOOKUP(B318,Referência!$A$5:$I$16,2,FALSE),"")</f>
        <v/>
      </c>
      <c r="D318" s="2"/>
      <c r="E318" s="2"/>
      <c r="F318" s="2"/>
      <c r="G318" s="15"/>
      <c r="H318" s="15"/>
      <c r="I318" s="4" t="str">
        <f t="shared" si="8"/>
        <v/>
      </c>
      <c r="J318" s="4" t="str">
        <f>IFERROR(VLOOKUP(B318,Referência!$A$5:$I$16,9,FALSE),"")</f>
        <v/>
      </c>
      <c r="K318" s="6"/>
      <c r="L318" s="5"/>
      <c r="M318" s="8"/>
      <c r="N318" s="5"/>
      <c r="O318" s="5"/>
      <c r="P318" s="4" t="str">
        <f t="shared" si="9"/>
        <v/>
      </c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7"/>
      <c r="B319" s="2"/>
      <c r="C319" s="3" t="str">
        <f>IFERROR(VLOOKUP(B319,Referência!$A$5:$I$16,2,FALSE),"")</f>
        <v/>
      </c>
      <c r="D319" s="2"/>
      <c r="E319" s="2"/>
      <c r="F319" s="2"/>
      <c r="G319" s="15"/>
      <c r="H319" s="15"/>
      <c r="I319" s="4" t="str">
        <f t="shared" si="8"/>
        <v/>
      </c>
      <c r="J319" s="4" t="str">
        <f>IFERROR(VLOOKUP(B319,Referência!$A$5:$I$16,9,FALSE),"")</f>
        <v/>
      </c>
      <c r="K319" s="6"/>
      <c r="L319" s="5"/>
      <c r="M319" s="8"/>
      <c r="N319" s="5"/>
      <c r="O319" s="5"/>
      <c r="P319" s="4" t="str">
        <f t="shared" si="9"/>
        <v/>
      </c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7"/>
      <c r="B320" s="2"/>
      <c r="C320" s="3" t="str">
        <f>IFERROR(VLOOKUP(B320,Referência!$A$5:$I$16,2,FALSE),"")</f>
        <v/>
      </c>
      <c r="D320" s="2"/>
      <c r="E320" s="2"/>
      <c r="F320" s="2"/>
      <c r="G320" s="15"/>
      <c r="H320" s="15"/>
      <c r="I320" s="4" t="str">
        <f t="shared" si="8"/>
        <v/>
      </c>
      <c r="J320" s="4" t="str">
        <f>IFERROR(VLOOKUP(B320,Referência!$A$5:$I$16,9,FALSE),"")</f>
        <v/>
      </c>
      <c r="K320" s="6"/>
      <c r="L320" s="5"/>
      <c r="M320" s="8"/>
      <c r="N320" s="5"/>
      <c r="O320" s="5"/>
      <c r="P320" s="4" t="str">
        <f t="shared" si="9"/>
        <v/>
      </c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7"/>
      <c r="B321" s="2"/>
      <c r="C321" s="3" t="str">
        <f>IFERROR(VLOOKUP(B321,Referência!$A$5:$I$16,2,FALSE),"")</f>
        <v/>
      </c>
      <c r="D321" s="2"/>
      <c r="E321" s="2"/>
      <c r="F321" s="2"/>
      <c r="G321" s="15"/>
      <c r="H321" s="15"/>
      <c r="I321" s="4" t="str">
        <f t="shared" si="8"/>
        <v/>
      </c>
      <c r="J321" s="4" t="str">
        <f>IFERROR(VLOOKUP(B321,Referência!$A$5:$I$16,9,FALSE),"")</f>
        <v/>
      </c>
      <c r="K321" s="6"/>
      <c r="L321" s="5"/>
      <c r="M321" s="8"/>
      <c r="N321" s="5"/>
      <c r="O321" s="5"/>
      <c r="P321" s="4" t="str">
        <f t="shared" si="9"/>
        <v/>
      </c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7"/>
      <c r="B322" s="2"/>
      <c r="C322" s="3" t="str">
        <f>IFERROR(VLOOKUP(B322,Referência!$A$5:$I$16,2,FALSE),"")</f>
        <v/>
      </c>
      <c r="D322" s="2"/>
      <c r="E322" s="2"/>
      <c r="F322" s="2"/>
      <c r="G322" s="15"/>
      <c r="H322" s="15"/>
      <c r="I322" s="4" t="str">
        <f t="shared" si="8"/>
        <v/>
      </c>
      <c r="J322" s="4" t="str">
        <f>IFERROR(VLOOKUP(B322,Referência!$A$5:$I$16,9,FALSE),"")</f>
        <v/>
      </c>
      <c r="K322" s="6"/>
      <c r="L322" s="5"/>
      <c r="M322" s="8"/>
      <c r="N322" s="5"/>
      <c r="O322" s="5"/>
      <c r="P322" s="4" t="str">
        <f t="shared" si="9"/>
        <v/>
      </c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7"/>
      <c r="B323" s="2"/>
      <c r="C323" s="3" t="str">
        <f>IFERROR(VLOOKUP(B323,Referência!$A$5:$I$16,2,FALSE),"")</f>
        <v/>
      </c>
      <c r="D323" s="2"/>
      <c r="E323" s="2"/>
      <c r="F323" s="2"/>
      <c r="G323" s="15"/>
      <c r="H323" s="15"/>
      <c r="I323" s="4" t="str">
        <f t="shared" si="8"/>
        <v/>
      </c>
      <c r="J323" s="4" t="str">
        <f>IFERROR(VLOOKUP(B323,Referência!$A$5:$I$16,9,FALSE),"")</f>
        <v/>
      </c>
      <c r="K323" s="6"/>
      <c r="L323" s="5"/>
      <c r="M323" s="8"/>
      <c r="N323" s="5"/>
      <c r="O323" s="5"/>
      <c r="P323" s="4" t="str">
        <f t="shared" si="9"/>
        <v/>
      </c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</sheetData>
  <mergeCells count="2">
    <mergeCell ref="A2:P2"/>
    <mergeCell ref="A3:P3"/>
  </mergeCells>
  <conditionalFormatting sqref="P6:P323">
    <cfRule type="containsText" dxfId="1" priority="1" operator="containsText" text="INCOMPLETO"/>
    <cfRule type="containsText" dxfId="0" priority="2" operator="containsText" text="COMPLETO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Referência!$A$5:$A$16</xm:f>
          </x14:formula1>
          <xm:sqref>B284:B323</xm:sqref>
        </x14:dataValidation>
        <x14:dataValidation type="list" xr:uid="{00000000-0002-0000-0000-000001000000}">
          <x14:formula1>
            <xm:f>Listas_de_opcoes!$A$2:$A$5</xm:f>
          </x14:formula1>
          <xm:sqref>D284:D323</xm:sqref>
        </x14:dataValidation>
        <x14:dataValidation type="list" xr:uid="{00000000-0002-0000-0000-000002000000}">
          <x14:formula1>
            <xm:f>Listas_de_opcoes!$B$2:$B$5</xm:f>
          </x14:formula1>
          <xm:sqref>J284:J323</xm:sqref>
        </x14:dataValidation>
        <x14:dataValidation type="list" xr:uid="{00000000-0002-0000-0000-000003000000}">
          <x14:formula1>
            <xm:f>Listas_de_opcoes!$C$2:$C$5</xm:f>
          </x14:formula1>
          <xm:sqref>O284:O323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78A8"/>
  </sheetPr>
  <dimension ref="A1:Z400"/>
  <sheetViews>
    <sheetView showGridLines="0" workbookViewId="0">
      <pane ySplit="4" topLeftCell="A5" activePane="bottomLeft" state="frozen"/>
      <selection pane="bottomLeft" activeCell="A2" sqref="A2:I2"/>
    </sheetView>
  </sheetViews>
  <sheetFormatPr defaultRowHeight="14.25"/>
  <cols>
    <col min="1" max="1" width="18" customWidth="1"/>
    <col min="2" max="2" width="44" customWidth="1"/>
    <col min="3" max="3" width="28" customWidth="1"/>
    <col min="4" max="5" width="48" customWidth="1"/>
    <col min="6" max="6" width="18" customWidth="1"/>
    <col min="7" max="7" width="24" customWidth="1"/>
    <col min="8" max="8" width="25" customWidth="1"/>
    <col min="9" max="9" width="18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>
      <c r="A2" s="22" t="s">
        <v>110</v>
      </c>
      <c r="B2" s="22"/>
      <c r="C2" s="22"/>
      <c r="D2" s="22"/>
      <c r="E2" s="22"/>
      <c r="F2" s="22"/>
      <c r="G2" s="22"/>
      <c r="H2" s="22"/>
      <c r="I2" s="2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3</v>
      </c>
      <c r="B4" s="1" t="s">
        <v>4</v>
      </c>
      <c r="C4" s="1" t="s">
        <v>13</v>
      </c>
      <c r="D4" s="1" t="s">
        <v>111</v>
      </c>
      <c r="E4" s="1" t="s">
        <v>112</v>
      </c>
      <c r="F4" s="1" t="s">
        <v>113</v>
      </c>
      <c r="G4" s="1" t="s">
        <v>114</v>
      </c>
      <c r="H4" s="1" t="s">
        <v>115</v>
      </c>
      <c r="I4" s="1" t="s">
        <v>11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" t="s">
        <v>18</v>
      </c>
      <c r="B5" s="16" t="s">
        <v>116</v>
      </c>
      <c r="C5" s="16" t="s">
        <v>22</v>
      </c>
      <c r="D5" s="16" t="s">
        <v>117</v>
      </c>
      <c r="E5" s="16" t="s">
        <v>118</v>
      </c>
      <c r="F5" s="16" t="s">
        <v>119</v>
      </c>
      <c r="G5" s="16" t="s">
        <v>86</v>
      </c>
      <c r="H5" s="16" t="s">
        <v>120</v>
      </c>
      <c r="I5" s="16" t="s">
        <v>121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" t="s">
        <v>41</v>
      </c>
      <c r="B6" s="16" t="s">
        <v>122</v>
      </c>
      <c r="C6" s="16" t="s">
        <v>43</v>
      </c>
      <c r="D6" s="16" t="s">
        <v>123</v>
      </c>
      <c r="E6" s="16" t="s">
        <v>124</v>
      </c>
      <c r="F6" s="16" t="s">
        <v>119</v>
      </c>
      <c r="G6" s="16" t="s">
        <v>86</v>
      </c>
      <c r="H6" s="16" t="s">
        <v>125</v>
      </c>
      <c r="I6" s="16" t="s">
        <v>126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55</v>
      </c>
      <c r="B7" s="16" t="s">
        <v>127</v>
      </c>
      <c r="C7" s="16" t="s">
        <v>128</v>
      </c>
      <c r="D7" s="16" t="s">
        <v>129</v>
      </c>
      <c r="E7" s="16" t="s">
        <v>130</v>
      </c>
      <c r="F7" s="16" t="s">
        <v>131</v>
      </c>
      <c r="G7" s="16" t="s">
        <v>86</v>
      </c>
      <c r="H7" s="16" t="s">
        <v>125</v>
      </c>
      <c r="I7" s="16" t="s">
        <v>132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1" t="s">
        <v>66</v>
      </c>
      <c r="B8" s="16" t="s">
        <v>133</v>
      </c>
      <c r="C8" s="16" t="s">
        <v>68</v>
      </c>
      <c r="D8" s="16" t="s">
        <v>134</v>
      </c>
      <c r="E8" s="16" t="s">
        <v>135</v>
      </c>
      <c r="F8" s="16" t="s">
        <v>119</v>
      </c>
      <c r="G8" s="16" t="s">
        <v>86</v>
      </c>
      <c r="H8" s="16" t="s">
        <v>136</v>
      </c>
      <c r="I8" s="16" t="s">
        <v>121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1" t="s">
        <v>78</v>
      </c>
      <c r="B9" s="16" t="s">
        <v>137</v>
      </c>
      <c r="C9" s="16" t="s">
        <v>79</v>
      </c>
      <c r="D9" s="16" t="s">
        <v>138</v>
      </c>
      <c r="E9" s="16" t="s">
        <v>139</v>
      </c>
      <c r="F9" s="16" t="s">
        <v>119</v>
      </c>
      <c r="G9" s="16" t="s">
        <v>86</v>
      </c>
      <c r="H9" s="16" t="s">
        <v>136</v>
      </c>
      <c r="I9" s="16" t="s">
        <v>121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80</v>
      </c>
      <c r="B10" s="16" t="s">
        <v>140</v>
      </c>
      <c r="C10" s="16" t="s">
        <v>81</v>
      </c>
      <c r="D10" s="16" t="s">
        <v>141</v>
      </c>
      <c r="E10" s="16" t="s">
        <v>142</v>
      </c>
      <c r="F10" s="16" t="s">
        <v>119</v>
      </c>
      <c r="G10" s="16" t="s">
        <v>86</v>
      </c>
      <c r="H10" s="16" t="s">
        <v>136</v>
      </c>
      <c r="I10" s="16" t="s">
        <v>121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84</v>
      </c>
      <c r="B11" s="16" t="s">
        <v>143</v>
      </c>
      <c r="C11" s="16" t="s">
        <v>87</v>
      </c>
      <c r="D11" s="16" t="s">
        <v>144</v>
      </c>
      <c r="E11" s="16" t="s">
        <v>145</v>
      </c>
      <c r="F11" s="16" t="s">
        <v>119</v>
      </c>
      <c r="G11" s="16" t="s">
        <v>86</v>
      </c>
      <c r="H11" s="16" t="s">
        <v>125</v>
      </c>
      <c r="I11" s="16" t="s">
        <v>132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89</v>
      </c>
      <c r="B12" s="16" t="s">
        <v>146</v>
      </c>
      <c r="C12" s="16" t="s">
        <v>87</v>
      </c>
      <c r="D12" s="16" t="s">
        <v>147</v>
      </c>
      <c r="E12" s="16" t="s">
        <v>145</v>
      </c>
      <c r="F12" s="16" t="s">
        <v>148</v>
      </c>
      <c r="G12" s="16" t="s">
        <v>86</v>
      </c>
      <c r="H12" s="16" t="s">
        <v>125</v>
      </c>
      <c r="I12" s="16" t="s">
        <v>132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" t="s">
        <v>91</v>
      </c>
      <c r="B13" s="16" t="s">
        <v>149</v>
      </c>
      <c r="C13" s="16" t="s">
        <v>93</v>
      </c>
      <c r="D13" s="16" t="s">
        <v>150</v>
      </c>
      <c r="E13" s="16" t="s">
        <v>151</v>
      </c>
      <c r="F13" s="16" t="s">
        <v>119</v>
      </c>
      <c r="G13" s="16" t="s">
        <v>86</v>
      </c>
      <c r="H13" s="16" t="s">
        <v>152</v>
      </c>
      <c r="I13" s="16" t="s">
        <v>132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99</v>
      </c>
      <c r="B14" s="16" t="s">
        <v>153</v>
      </c>
      <c r="C14" s="16" t="s">
        <v>101</v>
      </c>
      <c r="D14" s="16" t="s">
        <v>154</v>
      </c>
      <c r="E14" s="16" t="s">
        <v>155</v>
      </c>
      <c r="F14" s="16" t="s">
        <v>119</v>
      </c>
      <c r="G14" s="16" t="s">
        <v>86</v>
      </c>
      <c r="H14" s="16" t="s">
        <v>125</v>
      </c>
      <c r="I14" s="16" t="s">
        <v>156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>
      <c r="A15" s="1" t="s">
        <v>104</v>
      </c>
      <c r="B15" s="16" t="s">
        <v>157</v>
      </c>
      <c r="C15" s="16" t="s">
        <v>106</v>
      </c>
      <c r="D15" s="16" t="s">
        <v>158</v>
      </c>
      <c r="E15" s="16" t="s">
        <v>155</v>
      </c>
      <c r="F15" s="16" t="s">
        <v>119</v>
      </c>
      <c r="G15" s="16" t="s">
        <v>86</v>
      </c>
      <c r="H15" s="16" t="s">
        <v>125</v>
      </c>
      <c r="I15" s="16" t="s">
        <v>156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" t="s">
        <v>107</v>
      </c>
      <c r="B16" s="16" t="s">
        <v>159</v>
      </c>
      <c r="C16" s="16" t="s">
        <v>108</v>
      </c>
      <c r="D16" s="16" t="s">
        <v>160</v>
      </c>
      <c r="E16" s="16" t="s">
        <v>161</v>
      </c>
      <c r="F16" s="16" t="s">
        <v>119</v>
      </c>
      <c r="G16" s="16" t="s">
        <v>86</v>
      </c>
      <c r="H16" s="16" t="s">
        <v>162</v>
      </c>
      <c r="I16" s="16" t="s">
        <v>121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</sheetData>
  <mergeCells count="1">
    <mergeCell ref="A2:I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5792"/>
  </sheetPr>
  <dimension ref="A1:Z400"/>
  <sheetViews>
    <sheetView showGridLines="0" workbookViewId="0"/>
  </sheetViews>
  <sheetFormatPr defaultRowHeight="14.25"/>
  <cols>
    <col min="1" max="1" width="20" customWidth="1"/>
    <col min="2" max="2" width="44" customWidth="1"/>
    <col min="3" max="3" width="62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>
      <c r="A2" s="24" t="s">
        <v>163</v>
      </c>
      <c r="B2" s="24"/>
      <c r="C2" s="24"/>
      <c r="D2" s="24"/>
      <c r="E2" s="24"/>
      <c r="F2" s="24"/>
      <c r="G2" s="24"/>
      <c r="H2" s="2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5" t="s">
        <v>164</v>
      </c>
      <c r="B5" s="25"/>
      <c r="C5" s="25"/>
      <c r="D5" s="25"/>
      <c r="E5" s="25"/>
      <c r="F5" s="2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20" t="s">
        <v>165</v>
      </c>
      <c r="B6" s="19" t="s">
        <v>166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20" t="s">
        <v>167</v>
      </c>
      <c r="B7" s="19" t="s">
        <v>168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20" t="s">
        <v>169</v>
      </c>
      <c r="B8" s="19" t="s">
        <v>170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20" t="s">
        <v>171</v>
      </c>
      <c r="B9" s="19" t="s">
        <v>172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20" t="s">
        <v>173</v>
      </c>
      <c r="B10" s="19" t="s">
        <v>174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</sheetData>
  <mergeCells count="2">
    <mergeCell ref="A2:H2"/>
    <mergeCell ref="A5:F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00"/>
  <sheetViews>
    <sheetView showGridLines="0" workbookViewId="0"/>
  </sheetViews>
  <sheetFormatPr defaultRowHeight="14.25"/>
  <cols>
    <col min="1" max="4" width="30" customWidth="1"/>
  </cols>
  <sheetData>
    <row r="1" spans="1:26">
      <c r="A1" s="18" t="s">
        <v>5</v>
      </c>
      <c r="B1" s="18" t="s">
        <v>11</v>
      </c>
      <c r="C1" s="18" t="s">
        <v>16</v>
      </c>
      <c r="D1" s="18" t="s">
        <v>175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7" t="s">
        <v>19</v>
      </c>
      <c r="B2" s="17" t="s">
        <v>121</v>
      </c>
      <c r="C2" s="17" t="s">
        <v>109</v>
      </c>
      <c r="D2" s="17" t="s">
        <v>20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7" t="s">
        <v>25</v>
      </c>
      <c r="B3" s="17" t="s">
        <v>126</v>
      </c>
      <c r="C3" s="17" t="s">
        <v>176</v>
      </c>
      <c r="D3" s="17" t="s">
        <v>100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7" t="s">
        <v>85</v>
      </c>
      <c r="B4" s="17" t="s">
        <v>156</v>
      </c>
      <c r="C4" s="17" t="s">
        <v>177</v>
      </c>
      <c r="D4" s="17" t="s">
        <v>102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7" t="s">
        <v>125</v>
      </c>
      <c r="B5" s="17" t="s">
        <v>132</v>
      </c>
      <c r="C5" s="17" t="s">
        <v>178</v>
      </c>
      <c r="D5" s="17" t="s">
        <v>103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7"/>
      <c r="B6" s="17"/>
      <c r="C6" s="17"/>
      <c r="D6" s="17" t="s">
        <v>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2026-10-07T13:31:19Z</dcterms:created>
  <dcterms:modified xsi:type="dcterms:W3CDTF">2026-10-07T14:01:51Z</dcterms:modified>
  <cp:category/>
  <cp:contentStatus/>
</cp:coreProperties>
</file>